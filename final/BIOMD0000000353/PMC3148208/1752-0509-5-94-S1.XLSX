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showInkAnnotation="0" autoCompressPictures="0"/>
  <bookViews>
    <workbookView xWindow="-15" yWindow="-15" windowWidth="18600" windowHeight="11880" tabRatio="500" activeTab="3"/>
  </bookViews>
  <sheets>
    <sheet name="64_1e-2 clusters" sheetId="1" r:id="rId1"/>
    <sheet name="64_1e-2 Correlation" sheetId="3" r:id="rId2"/>
    <sheet name="64_1e-8 clusters" sheetId="4" r:id="rId3"/>
    <sheet name="64_1e-8 correlation" sheetId="5" r:id="rId4"/>
  </sheets>
  <definedNames>
    <definedName name="temp" localSheetId="0">'64_1e-2 clusters'!$A$2:$R$64</definedName>
    <definedName name="temp" localSheetId="1">'64_1e-2 Correlation'!$B$2:$P$16</definedName>
    <definedName name="temp" localSheetId="2">'64_1e-8 clusters'!$A$2:$R$46</definedName>
    <definedName name="temp" localSheetId="3">'64_1e-8 correlation'!#REF!</definedName>
    <definedName name="temp_1" localSheetId="0">'64_1e-2 clusters'!$S$2:$U$64</definedName>
    <definedName name="temp_1" localSheetId="2">'64_1e-8 clusters'!#REF!</definedName>
    <definedName name="temp_1" localSheetId="3">'64_1e-8 correlation'!$B$2:$P$16</definedName>
    <definedName name="temp_2" localSheetId="2">'64_1e-8 clusters'!$A$2:$R$46</definedName>
  </definedName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50" i="4"/>
  <c r="C50"/>
  <c r="C49"/>
  <c r="G49"/>
  <c r="G48"/>
  <c r="C48"/>
  <c r="U65" i="1"/>
  <c r="T65"/>
  <c r="U47" i="4"/>
  <c r="T47"/>
  <c r="S47"/>
</calcChain>
</file>

<file path=xl/connections.xml><?xml version="1.0" encoding="utf-8"?>
<connections xmlns="http://schemas.openxmlformats.org/spreadsheetml/2006/main">
  <connection id="1" name="Connection1" type="6" refreshedVersion="0" background="1" saveData="1">
    <textPr fileType="mac" sourceFile="Macintosh HD:Users:cchang:sysbio:pubs:Nag1:temp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nnection2" type="6" refreshedVersion="0" background="1" saveData="1">
    <textPr fileType="mac" sourceFile="Macintosh HD:Users:cchang:sysbio:pubs:Nag1:temp">
      <textFields count="4">
        <textField type="skip"/>
        <textField/>
        <textField/>
        <textField/>
      </textFields>
    </textPr>
  </connection>
  <connection id="3" name="Connection3" type="6" refreshedVersion="0" background="1" saveData="1">
    <textPr fileType="mac" sourceFile="Macintosh HD:Users:cchang:sysbio:pubs:Nag1:temp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nnection4" type="6" refreshedVersion="0" background="1" saveData="1">
    <textPr fileType="mac" sourceFile="Macintosh HD:Users:cchang:sysbio:pubs:Nag1:temp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nnection5" type="6" refreshedVersion="0" background="1" saveData="1">
    <textPr fileType="mac" sourceFile="Macintosh HD:Users:cchang:sysbio:pubs:Nag1:temp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nnection7" type="6" refreshedVersion="0" background="1" saveData="1">
    <textPr fileType="mac" sourceFile="Macintosh HD:Users:cchang:sysbio:pubs:Nag1:temp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<sst xmlns="http://schemas.openxmlformats.org/spreadsheetml/2006/main" count="318" uniqueCount="27">
  <si>
    <t>Centroid of cluster number</t>
  </si>
  <si>
    <t>in direct space is</t>
  </si>
  <si>
    <t>Maltose_CY</t>
    <phoneticPr fontId="2" type="noConversion"/>
  </si>
  <si>
    <t>Maltose_CS</t>
    <phoneticPr fontId="2" type="noConversion"/>
  </si>
  <si>
    <t>Glucose_CS</t>
    <phoneticPr fontId="2" type="noConversion"/>
  </si>
  <si>
    <t>Glucose_CY</t>
    <phoneticPr fontId="2" type="noConversion"/>
  </si>
  <si>
    <t># points</t>
    <phoneticPr fontId="2" type="noConversion"/>
  </si>
  <si>
    <t>stdev(log(dist))</t>
    <phoneticPr fontId="2" type="noConversion"/>
  </si>
  <si>
    <t>Max(log(dist))</t>
    <phoneticPr fontId="2" type="noConversion"/>
  </si>
  <si>
    <t>Points starch 1000</t>
  </si>
  <si>
    <t>Points starch 0.1</t>
  </si>
  <si>
    <t>Points ATP 1000</t>
  </si>
  <si>
    <t>Points ATP 0.1</t>
  </si>
  <si>
    <t>Points Pi 1000</t>
  </si>
  <si>
    <t>Points Pi 0.1</t>
  </si>
  <si>
    <t>GlcStarch_CS</t>
    <phoneticPr fontId="2" type="noConversion"/>
  </si>
  <si>
    <r>
      <t>Starch</t>
    </r>
    <r>
      <rPr>
        <vertAlign val="subscript"/>
        <sz val="10"/>
        <rFont val="Verdana"/>
      </rPr>
      <t>db</t>
    </r>
    <r>
      <rPr>
        <sz val="10"/>
        <rFont val="Verdana"/>
      </rPr>
      <t>_CS</t>
    </r>
  </si>
  <si>
    <t>Maltose_CS</t>
    <phoneticPr fontId="2" type="noConversion"/>
  </si>
  <si>
    <t>Maltotriose_CS</t>
    <phoneticPr fontId="2" type="noConversion"/>
  </si>
  <si>
    <t>Maltopentaose_CS</t>
    <phoneticPr fontId="2" type="noConversion"/>
  </si>
  <si>
    <t>AG_CY</t>
    <phoneticPr fontId="2" type="noConversion"/>
  </si>
  <si>
    <t>GlcAG_CY</t>
    <phoneticPr fontId="2" type="noConversion"/>
  </si>
  <si>
    <t>ATPtot_CY</t>
    <phoneticPr fontId="2" type="noConversion"/>
  </si>
  <si>
    <t>ADPtot_CY</t>
    <phoneticPr fontId="2" type="noConversion"/>
  </si>
  <si>
    <t>Pitot_CY</t>
    <phoneticPr fontId="2" type="noConversion"/>
  </si>
  <si>
    <t>Glc1Ptot_CY</t>
    <phoneticPr fontId="2" type="noConversion"/>
  </si>
  <si>
    <t>Glc6Ptot_CY</t>
    <phoneticPr fontId="2" type="noConversion"/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</si>
</sst>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sz val="10"/>
      <name val="Verdana"/>
    </font>
    <font>
      <sz val="10"/>
      <name val="Verdana"/>
    </font>
    <font>
      <sz val="8"/>
      <name val="Verdana"/>
    </font>
    <font>
      <vertAlign val="subscript"/>
      <sz val="10"/>
      <name val="Verdana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7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1" fillId="3" borderId="0" xfId="0" applyNumberFormat="1" applyFont="1" applyFill="1"/>
    <xf numFmtId="165" fontId="0" fillId="2" borderId="0" xfId="0" applyNumberFormat="1" applyFill="1"/>
    <xf numFmtId="165" fontId="0" fillId="0" borderId="0" xfId="0" applyNumberFormat="1"/>
    <xf numFmtId="165" fontId="0" fillId="5" borderId="0" xfId="0" applyNumberFormat="1" applyFill="1"/>
    <xf numFmtId="165" fontId="0" fillId="6" borderId="0" xfId="0" applyNumberFormat="1" applyFill="1"/>
    <xf numFmtId="0" fontId="0" fillId="0" borderId="0" xfId="0" applyFill="1"/>
    <xf numFmtId="165" fontId="1" fillId="0" borderId="0" xfId="0" applyNumberFormat="1" applyFont="1" applyFill="1"/>
    <xf numFmtId="165" fontId="0" fillId="0" borderId="0" xfId="0" applyNumberFormat="1" applyFill="1"/>
    <xf numFmtId="165" fontId="1" fillId="7" borderId="0" xfId="0" applyNumberFormat="1" applyFont="1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temp_1" connectionId="2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" connectionId="1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" connectionId="3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_2" connectionId="6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" connectionId="4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temp_1" connectionId="5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queryTable" Target="../queryTables/query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opLeftCell="D1" workbookViewId="0">
      <selection activeCell="H29" sqref="H29"/>
    </sheetView>
  </sheetViews>
  <sheetFormatPr defaultColWidth="11" defaultRowHeight="12.75"/>
  <cols>
    <col min="1" max="1" width="20.625" bestFit="1" customWidth="1"/>
    <col min="2" max="2" width="3" bestFit="1" customWidth="1"/>
    <col min="3" max="3" width="13.25" bestFit="1" customWidth="1"/>
    <col min="4" max="4" width="8.25" bestFit="1" customWidth="1"/>
    <col min="5" max="5" width="8.375" bestFit="1" customWidth="1"/>
    <col min="6" max="6" width="9.375" bestFit="1" customWidth="1"/>
    <col min="7" max="7" width="9.625" bestFit="1" customWidth="1"/>
    <col min="8" max="8" width="9" bestFit="1" customWidth="1"/>
    <col min="9" max="9" width="11.625" bestFit="1" customWidth="1"/>
    <col min="10" max="11" width="9.625" bestFit="1" customWidth="1"/>
    <col min="12" max="18" width="8.25" bestFit="1" customWidth="1"/>
    <col min="21" max="21" width="12" bestFit="1" customWidth="1"/>
  </cols>
  <sheetData>
    <row r="1" spans="1:21" ht="14.25">
      <c r="D1" t="s">
        <v>15</v>
      </c>
      <c r="E1" t="s">
        <v>16</v>
      </c>
      <c r="F1" t="s">
        <v>2</v>
      </c>
      <c r="G1" t="s">
        <v>17</v>
      </c>
      <c r="H1" t="s">
        <v>18</v>
      </c>
      <c r="I1" t="s">
        <v>19</v>
      </c>
      <c r="J1" t="s">
        <v>4</v>
      </c>
      <c r="K1" t="s">
        <v>5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6</v>
      </c>
      <c r="T1" t="s">
        <v>7</v>
      </c>
      <c r="U1" t="s">
        <v>8</v>
      </c>
    </row>
    <row r="2" spans="1:21">
      <c r="A2" t="s">
        <v>0</v>
      </c>
      <c r="B2">
        <v>16</v>
      </c>
      <c r="C2" t="s">
        <v>1</v>
      </c>
      <c r="D2" s="2">
        <v>0.1</v>
      </c>
      <c r="E2" s="1">
        <v>6.76882E-6</v>
      </c>
      <c r="F2" s="1">
        <v>1621.5510400000001</v>
      </c>
      <c r="G2" s="1">
        <v>2.6654199999999999E-2</v>
      </c>
      <c r="H2" s="1">
        <v>9.7843400000000007E-3</v>
      </c>
      <c r="I2" s="1">
        <v>2.7308800000000001E-2</v>
      </c>
      <c r="J2" s="1">
        <v>5.3701900000000002E-5</v>
      </c>
      <c r="K2" s="1">
        <v>0.160791552</v>
      </c>
      <c r="L2" s="1">
        <v>0.40529979700000002</v>
      </c>
      <c r="M2" s="1">
        <v>1332.9944599999999</v>
      </c>
      <c r="N2" s="2">
        <v>0.1</v>
      </c>
      <c r="O2" s="2">
        <v>0.1</v>
      </c>
      <c r="P2" s="2">
        <v>0.1</v>
      </c>
      <c r="Q2" s="2">
        <v>0.1</v>
      </c>
      <c r="R2" s="2">
        <v>0.1</v>
      </c>
      <c r="S2">
        <v>192</v>
      </c>
      <c r="T2">
        <v>0.181405240514</v>
      </c>
      <c r="U2">
        <v>0.72303911870699999</v>
      </c>
    </row>
    <row r="3" spans="1:21">
      <c r="A3" t="s">
        <v>0</v>
      </c>
      <c r="B3">
        <v>8</v>
      </c>
      <c r="C3" t="s">
        <v>1</v>
      </c>
      <c r="D3" s="2">
        <v>0.1</v>
      </c>
      <c r="E3" s="1">
        <v>6.76882E-6</v>
      </c>
      <c r="F3" s="1">
        <v>6049.8539099999998</v>
      </c>
      <c r="G3" s="1">
        <v>2.6654199999999999E-2</v>
      </c>
      <c r="H3" s="1">
        <v>9.7843400000000007E-3</v>
      </c>
      <c r="I3" s="1">
        <v>2.7308800000000001E-2</v>
      </c>
      <c r="J3" s="1">
        <v>5.3701900000000002E-5</v>
      </c>
      <c r="K3" s="1">
        <v>4.6421466100000002</v>
      </c>
      <c r="L3" s="1">
        <v>1.03293827</v>
      </c>
      <c r="M3" s="1">
        <v>1332.3671400000001</v>
      </c>
      <c r="N3" s="2">
        <v>0.1</v>
      </c>
      <c r="O3" s="2">
        <v>0.1</v>
      </c>
      <c r="P3" s="2">
        <v>0.1</v>
      </c>
      <c r="Q3" s="2">
        <v>0.1</v>
      </c>
      <c r="R3" s="2">
        <v>1000</v>
      </c>
      <c r="S3">
        <v>192</v>
      </c>
      <c r="T3">
        <v>3.0819790642300001E-2</v>
      </c>
      <c r="U3">
        <v>0.163001624283</v>
      </c>
    </row>
    <row r="4" spans="1:21">
      <c r="A4" t="s">
        <v>0</v>
      </c>
      <c r="B4">
        <v>44</v>
      </c>
      <c r="C4" t="s">
        <v>1</v>
      </c>
      <c r="D4" s="2">
        <v>0.1</v>
      </c>
      <c r="E4" s="1">
        <v>6.76882E-6</v>
      </c>
      <c r="F4" s="1">
        <v>4106.4587700000002</v>
      </c>
      <c r="G4" s="1">
        <v>2.6654199999999999E-2</v>
      </c>
      <c r="H4" s="1">
        <v>9.7843400000000007E-3</v>
      </c>
      <c r="I4" s="1">
        <v>2.7308800000000001E-2</v>
      </c>
      <c r="J4" s="1">
        <v>5.3701900000000002E-5</v>
      </c>
      <c r="K4" s="1">
        <v>4.6376667999999999</v>
      </c>
      <c r="L4" s="1">
        <v>2.3270839199999999E-4</v>
      </c>
      <c r="M4" s="1">
        <v>0.19976729700000001</v>
      </c>
      <c r="N4" s="2">
        <v>0.1</v>
      </c>
      <c r="O4" s="2">
        <v>0.1</v>
      </c>
      <c r="P4" s="2">
        <v>250.07499999999999</v>
      </c>
      <c r="Q4" s="2">
        <v>750.02499999999998</v>
      </c>
      <c r="R4" s="2">
        <v>750.02499999999998</v>
      </c>
      <c r="S4">
        <v>256</v>
      </c>
      <c r="T4">
        <v>0.43676167665299998</v>
      </c>
      <c r="U4">
        <v>2.0948286182500002</v>
      </c>
    </row>
    <row r="5" spans="1:21">
      <c r="A5" t="s">
        <v>0</v>
      </c>
      <c r="B5">
        <v>55</v>
      </c>
      <c r="C5" t="s">
        <v>1</v>
      </c>
      <c r="D5" s="2">
        <v>0.1</v>
      </c>
      <c r="E5" s="1">
        <v>6.76882E-6</v>
      </c>
      <c r="F5" s="1">
        <v>192.192059</v>
      </c>
      <c r="G5" s="1">
        <v>2.6654199999999999E-2</v>
      </c>
      <c r="H5" s="1">
        <v>9.7843400000000007E-3</v>
      </c>
      <c r="I5" s="1">
        <v>2.7308800000000001E-2</v>
      </c>
      <c r="J5" s="1">
        <v>5.3701900000000002E-5</v>
      </c>
      <c r="K5" s="1">
        <v>1181.7902300000001</v>
      </c>
      <c r="L5" s="1">
        <v>1146.89401</v>
      </c>
      <c r="M5" s="1">
        <v>186.50520700000001</v>
      </c>
      <c r="N5" s="2">
        <v>0.1</v>
      </c>
      <c r="O5" s="2">
        <v>0.1</v>
      </c>
      <c r="P5" s="2">
        <v>1000</v>
      </c>
      <c r="Q5" s="2">
        <v>0.1</v>
      </c>
      <c r="R5" s="2">
        <v>711.14</v>
      </c>
      <c r="S5">
        <v>270</v>
      </c>
      <c r="T5">
        <v>0.31650212515100001</v>
      </c>
      <c r="U5">
        <v>1.52346683241</v>
      </c>
    </row>
    <row r="6" spans="1:21">
      <c r="A6" t="s">
        <v>0</v>
      </c>
      <c r="B6">
        <v>59</v>
      </c>
      <c r="C6" t="s">
        <v>1</v>
      </c>
      <c r="D6" s="2">
        <v>0.1</v>
      </c>
      <c r="E6" s="1">
        <v>6.76882E-6</v>
      </c>
      <c r="F6" s="1">
        <v>521.75539700000002</v>
      </c>
      <c r="G6" s="1">
        <v>2.6654199999999999E-2</v>
      </c>
      <c r="H6" s="1">
        <v>9.7843400000000007E-3</v>
      </c>
      <c r="I6" s="1">
        <v>2.7308800000000001E-2</v>
      </c>
      <c r="J6" s="1">
        <v>5.3701900000000002E-5</v>
      </c>
      <c r="K6" s="1">
        <v>747.40906600000005</v>
      </c>
      <c r="L6" s="1">
        <v>0.14470545300000001</v>
      </c>
      <c r="M6" s="1">
        <v>5.5294443700000001E-2</v>
      </c>
      <c r="N6" s="2">
        <v>0.1</v>
      </c>
      <c r="O6" s="2">
        <v>0.1</v>
      </c>
      <c r="P6" s="2">
        <v>1000</v>
      </c>
      <c r="Q6" s="2">
        <v>0.1</v>
      </c>
      <c r="R6" s="2">
        <v>1000</v>
      </c>
      <c r="S6">
        <v>64</v>
      </c>
      <c r="T6">
        <v>0.16784853283199999</v>
      </c>
      <c r="U6">
        <v>0.78132101378300001</v>
      </c>
    </row>
    <row r="7" spans="1:21">
      <c r="A7" t="s">
        <v>0</v>
      </c>
      <c r="B7">
        <v>37</v>
      </c>
      <c r="C7" t="s">
        <v>1</v>
      </c>
      <c r="D7" s="2">
        <v>0.1</v>
      </c>
      <c r="E7" s="1">
        <v>6.76882E-6</v>
      </c>
      <c r="F7" s="1">
        <v>839.73686699999996</v>
      </c>
      <c r="G7" s="1">
        <v>2.6654199999999999E-2</v>
      </c>
      <c r="H7" s="1">
        <v>9.7843400000000007E-3</v>
      </c>
      <c r="I7" s="1">
        <v>2.7308800000000001E-2</v>
      </c>
      <c r="J7" s="1">
        <v>5.3701900000000002E-5</v>
      </c>
      <c r="K7" s="1">
        <v>0.50229093499999999</v>
      </c>
      <c r="L7" s="1">
        <v>0.81947984399999996</v>
      </c>
      <c r="M7" s="1">
        <v>1332.58</v>
      </c>
      <c r="N7" s="2">
        <v>0.1</v>
      </c>
      <c r="O7" s="2">
        <v>0.1</v>
      </c>
      <c r="P7" s="2">
        <v>1000</v>
      </c>
      <c r="Q7" s="2">
        <v>1000</v>
      </c>
      <c r="R7" s="2">
        <v>0.1</v>
      </c>
      <c r="S7">
        <v>192</v>
      </c>
      <c r="T7">
        <v>0.15767052272900001</v>
      </c>
      <c r="U7">
        <v>0.71125449986699996</v>
      </c>
    </row>
    <row r="8" spans="1:21">
      <c r="A8" t="s">
        <v>0</v>
      </c>
      <c r="B8">
        <v>46</v>
      </c>
      <c r="C8" t="s">
        <v>1</v>
      </c>
      <c r="D8" s="2">
        <v>0.1</v>
      </c>
      <c r="E8" s="1">
        <v>6.76882E-6</v>
      </c>
      <c r="F8" s="1">
        <v>4089.3492900000001</v>
      </c>
      <c r="G8" s="1">
        <v>2.6654199999999999E-2</v>
      </c>
      <c r="H8" s="1">
        <v>9.7843400000000007E-3</v>
      </c>
      <c r="I8" s="1">
        <v>2.7308800000000001E-2</v>
      </c>
      <c r="J8" s="1">
        <v>5.3701900000000002E-5</v>
      </c>
      <c r="K8" s="1">
        <v>4.4027009400000004E-3</v>
      </c>
      <c r="L8" s="1">
        <v>1.20791828E-4</v>
      </c>
      <c r="M8" s="1">
        <v>0.199879</v>
      </c>
      <c r="N8" s="2">
        <v>0.1</v>
      </c>
      <c r="O8" s="2">
        <v>0.1</v>
      </c>
      <c r="P8" s="2">
        <v>1000</v>
      </c>
      <c r="Q8" s="2">
        <v>1000</v>
      </c>
      <c r="R8" s="2">
        <v>0.1</v>
      </c>
      <c r="S8">
        <v>64</v>
      </c>
      <c r="T8">
        <v>9.8917942481900001E-2</v>
      </c>
      <c r="U8">
        <v>0.59018088584600004</v>
      </c>
    </row>
    <row r="9" spans="1:21">
      <c r="A9" t="s">
        <v>0</v>
      </c>
      <c r="B9">
        <v>34</v>
      </c>
      <c r="C9" t="s">
        <v>1</v>
      </c>
      <c r="D9" s="2">
        <v>0.1</v>
      </c>
      <c r="E9" s="1">
        <v>6.76882E-6</v>
      </c>
      <c r="F9" s="1">
        <v>6802.7001600000003</v>
      </c>
      <c r="G9" s="1">
        <v>2.6654199999999999E-2</v>
      </c>
      <c r="H9" s="1">
        <v>9.7843400000000007E-3</v>
      </c>
      <c r="I9" s="1">
        <v>2.7308800000000001E-2</v>
      </c>
      <c r="J9" s="1">
        <v>5.3701900000000002E-5</v>
      </c>
      <c r="K9" s="1">
        <v>4.1995008900000004</v>
      </c>
      <c r="L9" s="1">
        <v>0.81957475000000002</v>
      </c>
      <c r="M9" s="1">
        <v>1332.58</v>
      </c>
      <c r="N9" s="2">
        <v>0.1</v>
      </c>
      <c r="O9" s="2">
        <v>0.1</v>
      </c>
      <c r="P9" s="2">
        <v>1000</v>
      </c>
      <c r="Q9" s="2">
        <v>1000</v>
      </c>
      <c r="R9" s="2">
        <v>1000</v>
      </c>
      <c r="S9">
        <v>192</v>
      </c>
      <c r="T9">
        <v>3.1826201651600002E-2</v>
      </c>
      <c r="U9">
        <v>0.15636508727000001</v>
      </c>
    </row>
    <row r="10" spans="1:21">
      <c r="A10" t="s">
        <v>0</v>
      </c>
      <c r="B10">
        <v>48</v>
      </c>
      <c r="C10" t="s">
        <v>1</v>
      </c>
      <c r="D10" s="2">
        <v>0.1</v>
      </c>
      <c r="E10" s="1">
        <v>6.76882E-6</v>
      </c>
      <c r="F10" s="1">
        <v>332.28045300000002</v>
      </c>
      <c r="G10" s="1">
        <v>2.6654199999999999E-2</v>
      </c>
      <c r="H10" s="1">
        <v>9.7843400000000007E-3</v>
      </c>
      <c r="I10" s="1">
        <v>2.7308800000000001E-2</v>
      </c>
      <c r="J10" s="1">
        <v>5.3701900000000002E-5</v>
      </c>
      <c r="K10" s="1">
        <v>344.11759499999999</v>
      </c>
      <c r="L10" s="1">
        <v>0.14428336999999999</v>
      </c>
      <c r="M10" s="1">
        <v>5.5716492200000002E-2</v>
      </c>
      <c r="N10" s="2">
        <v>0.1</v>
      </c>
      <c r="O10" s="2">
        <v>500.05</v>
      </c>
      <c r="P10" s="2">
        <v>1000</v>
      </c>
      <c r="Q10" s="2">
        <v>0.1</v>
      </c>
      <c r="R10" s="2">
        <v>0.1</v>
      </c>
      <c r="S10">
        <v>128</v>
      </c>
      <c r="T10">
        <v>0.310161507319</v>
      </c>
      <c r="U10">
        <v>1.76268214707</v>
      </c>
    </row>
    <row r="11" spans="1:21">
      <c r="A11" t="s">
        <v>0</v>
      </c>
      <c r="B11">
        <v>0</v>
      </c>
      <c r="C11" t="s">
        <v>1</v>
      </c>
      <c r="D11" s="2">
        <v>0.1</v>
      </c>
      <c r="E11" s="1">
        <v>6.76882E-6</v>
      </c>
      <c r="F11" s="1">
        <v>6501.7333900000003</v>
      </c>
      <c r="G11" s="1">
        <v>2.6654199999999999E-2</v>
      </c>
      <c r="H11" s="1">
        <v>9.7843400000000007E-3</v>
      </c>
      <c r="I11" s="1">
        <v>2.7308800000000001E-2</v>
      </c>
      <c r="J11" s="1">
        <v>5.3701900000000002E-5</v>
      </c>
      <c r="K11" s="1">
        <v>5.1813630699999997</v>
      </c>
      <c r="L11" s="1">
        <v>1.06637867</v>
      </c>
      <c r="M11" s="1">
        <v>1332.3334400000001</v>
      </c>
      <c r="N11" s="2">
        <v>0.1</v>
      </c>
      <c r="O11" s="2">
        <v>1000</v>
      </c>
      <c r="P11" s="2">
        <v>0.1</v>
      </c>
      <c r="Q11" s="2">
        <v>0.1</v>
      </c>
      <c r="R11" s="2">
        <v>0.1</v>
      </c>
      <c r="S11">
        <v>192</v>
      </c>
      <c r="T11">
        <v>3.0600422489600002E-2</v>
      </c>
      <c r="U11">
        <v>0.14990447205400001</v>
      </c>
    </row>
    <row r="12" spans="1:21">
      <c r="A12" t="s">
        <v>0</v>
      </c>
      <c r="B12">
        <v>22</v>
      </c>
      <c r="C12" t="s">
        <v>1</v>
      </c>
      <c r="D12" s="2">
        <v>0.1</v>
      </c>
      <c r="E12" s="1">
        <v>6.76882E-6</v>
      </c>
      <c r="F12" s="1">
        <v>36118.310899999997</v>
      </c>
      <c r="G12" s="1">
        <v>2.6654199999999999E-2</v>
      </c>
      <c r="H12" s="1">
        <v>9.7843400000000007E-3</v>
      </c>
      <c r="I12" s="1">
        <v>2.7308800000000001E-2</v>
      </c>
      <c r="J12" s="1">
        <v>5.3701900000000002E-5</v>
      </c>
      <c r="K12" s="1">
        <v>0.91920657800000005</v>
      </c>
      <c r="L12" s="1">
        <v>6.6079737499999999E-4</v>
      </c>
      <c r="M12" s="1">
        <v>1333.4</v>
      </c>
      <c r="N12" s="2">
        <v>0.1</v>
      </c>
      <c r="O12" s="2">
        <v>1000</v>
      </c>
      <c r="P12" s="2">
        <v>0.1</v>
      </c>
      <c r="Q12" s="2">
        <v>1000</v>
      </c>
      <c r="R12" s="2">
        <v>0.1</v>
      </c>
      <c r="S12">
        <v>192</v>
      </c>
      <c r="T12">
        <v>3.07995073189E-2</v>
      </c>
      <c r="U12">
        <v>0.131537186798</v>
      </c>
    </row>
    <row r="13" spans="1:21">
      <c r="A13" t="s">
        <v>0</v>
      </c>
      <c r="B13">
        <v>1</v>
      </c>
      <c r="C13" t="s">
        <v>1</v>
      </c>
      <c r="D13" s="2">
        <v>0.1</v>
      </c>
      <c r="E13" s="1">
        <v>6.76882E-6</v>
      </c>
      <c r="F13" s="1">
        <v>784954.45299999998</v>
      </c>
      <c r="G13" s="1">
        <v>2.6654199999999999E-2</v>
      </c>
      <c r="H13" s="1">
        <v>9.7843400000000007E-3</v>
      </c>
      <c r="I13" s="1">
        <v>2.7308800000000001E-2</v>
      </c>
      <c r="J13" s="1">
        <v>5.3701900000000002E-5</v>
      </c>
      <c r="K13" s="1">
        <v>501.44359400000002</v>
      </c>
      <c r="L13" s="1">
        <v>1.14427086E-2</v>
      </c>
      <c r="M13" s="1">
        <v>1000.09</v>
      </c>
      <c r="N13" s="2">
        <v>0.1</v>
      </c>
      <c r="O13" s="2">
        <v>1000</v>
      </c>
      <c r="P13" s="2">
        <v>0.1</v>
      </c>
      <c r="Q13" s="2">
        <v>1000</v>
      </c>
      <c r="R13" s="2">
        <v>1000</v>
      </c>
      <c r="S13">
        <v>128</v>
      </c>
      <c r="T13" s="1">
        <v>3.5201095746299998E-5</v>
      </c>
      <c r="U13">
        <v>1.25390518867E-4</v>
      </c>
    </row>
    <row r="14" spans="1:21">
      <c r="A14" t="s">
        <v>0</v>
      </c>
      <c r="B14">
        <v>27</v>
      </c>
      <c r="C14" t="s">
        <v>1</v>
      </c>
      <c r="D14" s="2">
        <v>0.1</v>
      </c>
      <c r="E14" s="1">
        <v>6.76882E-6</v>
      </c>
      <c r="F14" s="1">
        <v>988639.79700000002</v>
      </c>
      <c r="G14" s="1">
        <v>2.6654199999999999E-2</v>
      </c>
      <c r="H14" s="1">
        <v>9.7843400000000007E-3</v>
      </c>
      <c r="I14" s="1">
        <v>2.7308800000000001E-2</v>
      </c>
      <c r="J14" s="1">
        <v>5.3701900000000002E-5</v>
      </c>
      <c r="K14" s="1">
        <v>395.55248399999999</v>
      </c>
      <c r="L14" s="1">
        <v>1.69322797E-2</v>
      </c>
      <c r="M14" s="1">
        <v>1999.98</v>
      </c>
      <c r="N14" s="2">
        <v>0.1</v>
      </c>
      <c r="O14" s="2">
        <v>1000</v>
      </c>
      <c r="P14" s="2">
        <v>0.1</v>
      </c>
      <c r="Q14" s="2">
        <v>1000</v>
      </c>
      <c r="R14" s="2">
        <v>1000</v>
      </c>
      <c r="S14">
        <v>64</v>
      </c>
      <c r="T14" s="1">
        <v>2.9928999717099999E-5</v>
      </c>
      <c r="U14">
        <v>1.05667315497E-4</v>
      </c>
    </row>
    <row r="15" spans="1:21">
      <c r="A15" t="s">
        <v>0</v>
      </c>
      <c r="B15">
        <v>10</v>
      </c>
      <c r="C15" t="s">
        <v>1</v>
      </c>
      <c r="D15" s="2">
        <v>0.1</v>
      </c>
      <c r="E15" s="1">
        <v>6.76882E-6</v>
      </c>
      <c r="F15" s="1">
        <v>4035.80674</v>
      </c>
      <c r="G15" s="1">
        <v>2.6654199999999999E-2</v>
      </c>
      <c r="H15" s="1">
        <v>9.7843400000000007E-3</v>
      </c>
      <c r="I15" s="1">
        <v>2.7308800000000001E-2</v>
      </c>
      <c r="J15" s="1">
        <v>5.3701900000000002E-5</v>
      </c>
      <c r="K15" s="1">
        <v>294.34646300000003</v>
      </c>
      <c r="L15" s="1">
        <v>573.85825799999998</v>
      </c>
      <c r="M15" s="1">
        <v>759.54085899999995</v>
      </c>
      <c r="N15" s="2">
        <v>0.1</v>
      </c>
      <c r="O15" s="2">
        <v>1000</v>
      </c>
      <c r="P15" s="2">
        <v>1000</v>
      </c>
      <c r="Q15" s="2">
        <v>500.05</v>
      </c>
      <c r="R15" s="2">
        <v>0.1</v>
      </c>
      <c r="S15">
        <v>384</v>
      </c>
      <c r="T15">
        <v>8.21452303882E-2</v>
      </c>
      <c r="U15">
        <v>1.4979519404199999</v>
      </c>
    </row>
    <row r="16" spans="1:21">
      <c r="A16" t="s">
        <v>0</v>
      </c>
      <c r="B16">
        <v>12</v>
      </c>
      <c r="C16" t="s">
        <v>1</v>
      </c>
      <c r="D16" s="2">
        <v>0.1</v>
      </c>
      <c r="E16" s="1">
        <v>6.76882E-6</v>
      </c>
      <c r="F16" s="1">
        <v>330897.04800000001</v>
      </c>
      <c r="G16" s="1">
        <v>2.6654199999999999E-2</v>
      </c>
      <c r="H16" s="1">
        <v>9.7843400000000007E-3</v>
      </c>
      <c r="I16" s="1">
        <v>2.7308800000000001E-2</v>
      </c>
      <c r="J16" s="1">
        <v>5.3701900000000002E-5</v>
      </c>
      <c r="K16" s="1">
        <v>10117.374900000001</v>
      </c>
      <c r="L16" s="1">
        <v>573.88468399999999</v>
      </c>
      <c r="M16" s="1">
        <v>759.51483599999995</v>
      </c>
      <c r="N16" s="2">
        <v>0.1</v>
      </c>
      <c r="O16" s="2">
        <v>1000</v>
      </c>
      <c r="P16" s="2">
        <v>1000</v>
      </c>
      <c r="Q16" s="2">
        <v>500.05</v>
      </c>
      <c r="R16" s="2">
        <v>1000</v>
      </c>
      <c r="S16">
        <v>384</v>
      </c>
      <c r="T16">
        <v>5.3415961085199999E-3</v>
      </c>
      <c r="U16">
        <v>1.28399682279</v>
      </c>
    </row>
    <row r="17" spans="1:21">
      <c r="A17" t="s">
        <v>0</v>
      </c>
      <c r="B17">
        <v>24</v>
      </c>
      <c r="C17" t="s">
        <v>1</v>
      </c>
      <c r="D17" s="2">
        <v>0.1</v>
      </c>
      <c r="E17" s="1">
        <v>6.76882E-6</v>
      </c>
      <c r="F17" s="1">
        <v>15145.384599999999</v>
      </c>
      <c r="G17" s="1">
        <v>2.6654199999999999E-2</v>
      </c>
      <c r="H17" s="1">
        <v>9.7843400000000007E-3</v>
      </c>
      <c r="I17" s="1">
        <v>2.7308800000000001E-2</v>
      </c>
      <c r="J17" s="1">
        <v>5.3701900000000002E-5</v>
      </c>
      <c r="K17" s="1">
        <v>8055.7593800000004</v>
      </c>
      <c r="L17" s="1">
        <v>3.5471232499999998E-2</v>
      </c>
      <c r="M17" s="1">
        <v>0.16452876899999999</v>
      </c>
      <c r="N17" s="2">
        <v>200.08</v>
      </c>
      <c r="O17" s="2">
        <v>1000</v>
      </c>
      <c r="P17" s="2">
        <v>800.02</v>
      </c>
      <c r="Q17" s="2">
        <v>800.02</v>
      </c>
      <c r="R17" s="2">
        <v>800.02</v>
      </c>
      <c r="S17">
        <v>320</v>
      </c>
      <c r="T17">
        <v>0.39938613503699999</v>
      </c>
      <c r="U17">
        <v>2.1042716842</v>
      </c>
    </row>
    <row r="18" spans="1:21">
      <c r="A18" t="s">
        <v>0</v>
      </c>
      <c r="B18">
        <v>13</v>
      </c>
      <c r="C18" t="s">
        <v>1</v>
      </c>
      <c r="D18" s="2">
        <v>0.1</v>
      </c>
      <c r="E18" s="1">
        <v>6.76882E-6</v>
      </c>
      <c r="F18" s="1">
        <v>3475.78361</v>
      </c>
      <c r="G18" s="1">
        <v>2.6654199999999999E-2</v>
      </c>
      <c r="H18" s="1">
        <v>9.7843400000000007E-3</v>
      </c>
      <c r="I18" s="1">
        <v>2.7308800000000001E-2</v>
      </c>
      <c r="J18" s="1">
        <v>5.3701900000000002E-5</v>
      </c>
      <c r="K18" s="1">
        <v>3.1534566800000001</v>
      </c>
      <c r="L18" s="1">
        <v>2.0501923299999999E-4</v>
      </c>
      <c r="M18" s="1">
        <v>0.19979498400000001</v>
      </c>
      <c r="N18" s="2">
        <v>250.07499999999999</v>
      </c>
      <c r="O18" s="2">
        <v>750.02499999999998</v>
      </c>
      <c r="P18" s="2">
        <v>0.1</v>
      </c>
      <c r="Q18" s="2">
        <v>250.07499999999999</v>
      </c>
      <c r="R18" s="2">
        <v>0.1</v>
      </c>
      <c r="S18">
        <v>256</v>
      </c>
      <c r="T18">
        <v>0.23889461669199999</v>
      </c>
      <c r="U18">
        <v>1.84034407294</v>
      </c>
    </row>
    <row r="19" spans="1:21">
      <c r="A19" t="s">
        <v>0</v>
      </c>
      <c r="B19">
        <v>7</v>
      </c>
      <c r="C19" t="s">
        <v>1</v>
      </c>
      <c r="D19" s="2">
        <v>0.1</v>
      </c>
      <c r="E19" s="1">
        <v>6.76882E-6</v>
      </c>
      <c r="F19" s="1">
        <v>3946.7882500000001</v>
      </c>
      <c r="G19" s="1">
        <v>2.6654199999999999E-2</v>
      </c>
      <c r="H19" s="1">
        <v>9.7843400000000007E-3</v>
      </c>
      <c r="I19" s="1">
        <v>2.7308800000000001E-2</v>
      </c>
      <c r="J19" s="1">
        <v>5.3701900000000002E-5</v>
      </c>
      <c r="K19" s="1">
        <v>2.7824058400000002E-4</v>
      </c>
      <c r="L19" s="1">
        <v>8.2095833299999999E-5</v>
      </c>
      <c r="M19" s="1">
        <v>1333.4</v>
      </c>
      <c r="N19" s="2">
        <v>500.05</v>
      </c>
      <c r="O19" s="2">
        <v>0.1</v>
      </c>
      <c r="P19" s="2">
        <v>0.1</v>
      </c>
      <c r="Q19" s="2">
        <v>1000</v>
      </c>
      <c r="R19" s="2">
        <v>0.1</v>
      </c>
      <c r="S19">
        <v>384</v>
      </c>
      <c r="T19">
        <v>2.09360467285E-2</v>
      </c>
      <c r="U19">
        <v>1.23302488176</v>
      </c>
    </row>
    <row r="20" spans="1:21">
      <c r="A20" t="s">
        <v>0</v>
      </c>
      <c r="B20">
        <v>42</v>
      </c>
      <c r="C20" t="s">
        <v>1</v>
      </c>
      <c r="D20" s="2">
        <v>0.1</v>
      </c>
      <c r="E20" s="1">
        <v>6.76882E-6</v>
      </c>
      <c r="F20" s="1">
        <v>9140.5163400000001</v>
      </c>
      <c r="G20" s="1">
        <v>2.6654199999999999E-2</v>
      </c>
      <c r="H20" s="1">
        <v>9.7843400000000007E-3</v>
      </c>
      <c r="I20" s="1">
        <v>2.7308800000000001E-2</v>
      </c>
      <c r="J20" s="1">
        <v>5.3701900000000002E-5</v>
      </c>
      <c r="K20" s="1">
        <v>9.2552571200000003E-2</v>
      </c>
      <c r="L20" s="1">
        <v>1.9866568900000001E-4</v>
      </c>
      <c r="M20" s="1">
        <v>1333.4</v>
      </c>
      <c r="N20" s="2">
        <v>500.05</v>
      </c>
      <c r="O20" s="2">
        <v>0.1</v>
      </c>
      <c r="P20" s="2">
        <v>0.1</v>
      </c>
      <c r="Q20" s="2">
        <v>1000</v>
      </c>
      <c r="R20" s="2">
        <v>1000</v>
      </c>
      <c r="S20">
        <v>384</v>
      </c>
      <c r="T20">
        <v>1.7756303641899999E-2</v>
      </c>
      <c r="U20">
        <v>1.1873858043200001</v>
      </c>
    </row>
    <row r="21" spans="1:21">
      <c r="A21" t="s">
        <v>0</v>
      </c>
      <c r="B21">
        <v>21</v>
      </c>
      <c r="C21" t="s">
        <v>1</v>
      </c>
      <c r="D21" s="2">
        <v>0.1</v>
      </c>
      <c r="E21" s="1">
        <v>6.76882E-6</v>
      </c>
      <c r="F21" s="1">
        <v>3639.50441</v>
      </c>
      <c r="G21" s="1">
        <v>2.6654199999999999E-2</v>
      </c>
      <c r="H21" s="1">
        <v>9.7843400000000007E-3</v>
      </c>
      <c r="I21" s="1">
        <v>2.7308800000000001E-2</v>
      </c>
      <c r="J21" s="1">
        <v>5.3701900000000002E-5</v>
      </c>
      <c r="K21" s="1">
        <v>9872.5992499999993</v>
      </c>
      <c r="L21" s="1">
        <v>8.25834176E-2</v>
      </c>
      <c r="M21" s="1">
        <v>0.11741666100000001</v>
      </c>
      <c r="N21" s="2">
        <v>500.05</v>
      </c>
      <c r="O21" s="2">
        <v>1000</v>
      </c>
      <c r="P21" s="2">
        <v>0.1</v>
      </c>
      <c r="Q21" s="2">
        <v>0.1</v>
      </c>
      <c r="R21" s="2">
        <v>1000</v>
      </c>
      <c r="S21">
        <v>128</v>
      </c>
      <c r="T21">
        <v>2.6176955911299999E-2</v>
      </c>
      <c r="U21">
        <v>1.29157622505</v>
      </c>
    </row>
    <row r="22" spans="1:21">
      <c r="A22" t="s">
        <v>0</v>
      </c>
      <c r="B22">
        <v>29</v>
      </c>
      <c r="C22" t="s">
        <v>1</v>
      </c>
      <c r="D22" s="2">
        <v>0.1</v>
      </c>
      <c r="E22" s="1">
        <v>6.76882E-6</v>
      </c>
      <c r="F22" s="1">
        <v>81182.464000000007</v>
      </c>
      <c r="G22" s="1">
        <v>2.6654199999999999E-2</v>
      </c>
      <c r="H22" s="1">
        <v>9.7843400000000007E-3</v>
      </c>
      <c r="I22" s="1">
        <v>2.7308800000000001E-2</v>
      </c>
      <c r="J22" s="1">
        <v>5.3701900000000002E-5</v>
      </c>
      <c r="K22" s="1">
        <v>1245.2640100000001</v>
      </c>
      <c r="L22" s="1">
        <v>10.5886216</v>
      </c>
      <c r="M22" s="1">
        <v>1322.8111200000001</v>
      </c>
      <c r="N22" s="2">
        <v>500.05</v>
      </c>
      <c r="O22" s="2">
        <v>1000</v>
      </c>
      <c r="P22" s="2">
        <v>0.1</v>
      </c>
      <c r="Q22" s="2">
        <v>0.1</v>
      </c>
      <c r="R22" s="2">
        <v>1000</v>
      </c>
      <c r="S22">
        <v>384</v>
      </c>
      <c r="T22">
        <v>7.2550842571000003E-3</v>
      </c>
      <c r="U22">
        <v>1.13617643429</v>
      </c>
    </row>
    <row r="23" spans="1:21">
      <c r="A23" t="s">
        <v>0</v>
      </c>
      <c r="B23">
        <v>62</v>
      </c>
      <c r="C23" t="s">
        <v>1</v>
      </c>
      <c r="D23" s="2">
        <v>0.1</v>
      </c>
      <c r="E23" s="1">
        <v>6.76882E-6</v>
      </c>
      <c r="F23" s="1">
        <v>1.3323601999999999E-3</v>
      </c>
      <c r="G23" s="1">
        <v>2.6654199999999999E-2</v>
      </c>
      <c r="H23" s="1">
        <v>9.7843400000000007E-3</v>
      </c>
      <c r="I23" s="1">
        <v>2.7308800000000001E-2</v>
      </c>
      <c r="J23" s="1">
        <v>5.3701900000000002E-5</v>
      </c>
      <c r="K23" s="1">
        <v>1.4086877899999999E-3</v>
      </c>
      <c r="L23" s="1">
        <v>1146.904</v>
      </c>
      <c r="M23" s="1">
        <v>186.49433300000001</v>
      </c>
      <c r="N23" s="2">
        <v>834.79912999999999</v>
      </c>
      <c r="O23" s="2">
        <v>278.33304299999998</v>
      </c>
      <c r="P23" s="2">
        <v>1000</v>
      </c>
      <c r="Q23" s="2">
        <v>0.1</v>
      </c>
      <c r="R23" s="2">
        <v>278.33304299999998</v>
      </c>
      <c r="S23">
        <v>690</v>
      </c>
      <c r="T23">
        <v>0.29027304205900001</v>
      </c>
      <c r="U23">
        <v>1.9119833883099999</v>
      </c>
    </row>
    <row r="24" spans="1:21">
      <c r="A24" t="s">
        <v>0</v>
      </c>
      <c r="B24">
        <v>3</v>
      </c>
      <c r="C24" t="s">
        <v>1</v>
      </c>
      <c r="D24" s="2">
        <v>0.1</v>
      </c>
      <c r="E24" s="1">
        <v>6.76882E-6</v>
      </c>
      <c r="F24" s="1">
        <v>298.57815099999999</v>
      </c>
      <c r="G24" s="1">
        <v>2.6654199999999999E-2</v>
      </c>
      <c r="H24" s="1">
        <v>9.7843400000000007E-3</v>
      </c>
      <c r="I24" s="1">
        <v>2.7308800000000001E-2</v>
      </c>
      <c r="J24" s="1">
        <v>5.3701900000000002E-5</v>
      </c>
      <c r="K24" s="1">
        <v>5.2913676000000001E-6</v>
      </c>
      <c r="L24" s="1">
        <v>0.64852272600000005</v>
      </c>
      <c r="M24" s="1">
        <v>1332.7521099999999</v>
      </c>
      <c r="N24" s="2">
        <v>1000</v>
      </c>
      <c r="O24" s="2">
        <v>0.1</v>
      </c>
      <c r="P24" s="2">
        <v>0.1</v>
      </c>
      <c r="Q24" s="2">
        <v>0.1</v>
      </c>
      <c r="R24" s="2">
        <v>0.1</v>
      </c>
      <c r="S24">
        <v>192</v>
      </c>
      <c r="T24">
        <v>0.28459540661600002</v>
      </c>
      <c r="U24">
        <v>1.14205042087</v>
      </c>
    </row>
    <row r="25" spans="1:21">
      <c r="A25" t="s">
        <v>0</v>
      </c>
      <c r="B25">
        <v>47</v>
      </c>
      <c r="C25" t="s">
        <v>1</v>
      </c>
      <c r="D25" s="2">
        <v>0.1</v>
      </c>
      <c r="E25" s="1">
        <v>6.76882E-6</v>
      </c>
      <c r="F25" s="1">
        <v>301.623153</v>
      </c>
      <c r="G25" s="1">
        <v>2.6654199999999999E-2</v>
      </c>
      <c r="H25" s="1">
        <v>9.7843400000000007E-3</v>
      </c>
      <c r="I25" s="1">
        <v>2.7308800000000001E-2</v>
      </c>
      <c r="J25" s="1">
        <v>5.3701900000000002E-5</v>
      </c>
      <c r="K25" s="1">
        <v>7.0637383899999995E-4</v>
      </c>
      <c r="L25" s="1">
        <v>0.64729887200000003</v>
      </c>
      <c r="M25" s="1">
        <v>1332.75324</v>
      </c>
      <c r="N25" s="2">
        <v>1000</v>
      </c>
      <c r="O25" s="2">
        <v>0.1</v>
      </c>
      <c r="P25" s="2">
        <v>0.1</v>
      </c>
      <c r="Q25" s="2">
        <v>0.1</v>
      </c>
      <c r="R25" s="2">
        <v>1000</v>
      </c>
      <c r="S25">
        <v>192</v>
      </c>
      <c r="T25">
        <v>0.25761326367499998</v>
      </c>
      <c r="U25">
        <v>1.04466084067</v>
      </c>
    </row>
    <row r="26" spans="1:21">
      <c r="A26" t="s">
        <v>0</v>
      </c>
      <c r="B26">
        <v>9</v>
      </c>
      <c r="C26" t="s">
        <v>1</v>
      </c>
      <c r="D26" s="2">
        <v>0.1</v>
      </c>
      <c r="E26" s="1">
        <v>6.76882E-6</v>
      </c>
      <c r="F26" s="1">
        <v>3065.6407800000002</v>
      </c>
      <c r="G26" s="1">
        <v>2.6654199999999999E-2</v>
      </c>
      <c r="H26" s="1">
        <v>9.7843400000000007E-3</v>
      </c>
      <c r="I26" s="1">
        <v>2.7308800000000001E-2</v>
      </c>
      <c r="J26" s="1">
        <v>5.3701900000000002E-5</v>
      </c>
      <c r="K26" s="1">
        <v>3.2361385799999998E-4</v>
      </c>
      <c r="L26" s="1">
        <v>5.2029422500000004E-7</v>
      </c>
      <c r="M26" s="1">
        <v>0.19999948400000001</v>
      </c>
      <c r="N26" s="2">
        <v>1000</v>
      </c>
      <c r="O26" s="2">
        <v>0.1</v>
      </c>
      <c r="P26" s="2">
        <v>0.1</v>
      </c>
      <c r="Q26" s="2">
        <v>500.05</v>
      </c>
      <c r="R26" s="2">
        <v>500.05</v>
      </c>
      <c r="S26">
        <v>256</v>
      </c>
      <c r="T26">
        <v>1.4599457146399999E-2</v>
      </c>
      <c r="U26">
        <v>1.6158281195499999</v>
      </c>
    </row>
    <row r="27" spans="1:21">
      <c r="A27" t="s">
        <v>0</v>
      </c>
      <c r="B27">
        <v>14</v>
      </c>
      <c r="C27" t="s">
        <v>1</v>
      </c>
      <c r="D27" s="2">
        <v>0.1</v>
      </c>
      <c r="E27" s="1">
        <v>6.76882E-6</v>
      </c>
      <c r="F27" s="1">
        <v>1.8678966699999999</v>
      </c>
      <c r="G27" s="1">
        <v>2.6654199999999999E-2</v>
      </c>
      <c r="H27" s="1">
        <v>9.7843400000000007E-3</v>
      </c>
      <c r="I27" s="1">
        <v>2.7308800000000001E-2</v>
      </c>
      <c r="J27" s="1">
        <v>5.3701900000000002E-5</v>
      </c>
      <c r="K27" s="1">
        <v>3.2946968500000001E-4</v>
      </c>
      <c r="L27" s="1">
        <v>0.81953266700000005</v>
      </c>
      <c r="M27" s="1">
        <v>1332.58</v>
      </c>
      <c r="N27" s="2">
        <v>1000</v>
      </c>
      <c r="O27" s="2">
        <v>0.1</v>
      </c>
      <c r="P27" s="2">
        <v>1000</v>
      </c>
      <c r="Q27" s="2">
        <v>1000</v>
      </c>
      <c r="R27" s="2">
        <v>500.05</v>
      </c>
      <c r="S27">
        <v>384</v>
      </c>
      <c r="T27">
        <v>3.1924745899199998E-3</v>
      </c>
      <c r="U27">
        <v>1.0901223767399999</v>
      </c>
    </row>
    <row r="28" spans="1:21">
      <c r="A28" t="s">
        <v>0</v>
      </c>
      <c r="B28">
        <v>5</v>
      </c>
      <c r="C28" t="s">
        <v>1</v>
      </c>
      <c r="D28" s="2">
        <v>0.1</v>
      </c>
      <c r="E28" s="1">
        <v>6.76882E-6</v>
      </c>
      <c r="F28" s="1">
        <v>2958.0463800000002</v>
      </c>
      <c r="G28" s="1">
        <v>2.6654199999999999E-2</v>
      </c>
      <c r="H28" s="1">
        <v>9.7843400000000007E-3</v>
      </c>
      <c r="I28" s="1">
        <v>2.7308800000000001E-2</v>
      </c>
      <c r="J28" s="1">
        <v>5.3701900000000002E-5</v>
      </c>
      <c r="K28" s="1">
        <v>4.3356347800000002E-4</v>
      </c>
      <c r="L28" s="1">
        <v>1.2078578600000001E-4</v>
      </c>
      <c r="M28" s="1">
        <v>0.199879</v>
      </c>
      <c r="N28" s="2">
        <v>1000</v>
      </c>
      <c r="O28" s="2">
        <v>333.4</v>
      </c>
      <c r="P28" s="2">
        <v>1000</v>
      </c>
      <c r="Q28" s="2">
        <v>1000</v>
      </c>
      <c r="R28" s="2">
        <v>333.4</v>
      </c>
      <c r="S28">
        <v>192</v>
      </c>
      <c r="T28">
        <v>0.194893330414</v>
      </c>
      <c r="U28">
        <v>1.61300124029</v>
      </c>
    </row>
    <row r="29" spans="1:21">
      <c r="A29" t="s">
        <v>0</v>
      </c>
      <c r="B29">
        <v>23</v>
      </c>
      <c r="C29" t="s">
        <v>1</v>
      </c>
      <c r="D29" s="2">
        <v>0.1</v>
      </c>
      <c r="E29" s="1">
        <v>6.76882E-6</v>
      </c>
      <c r="F29" s="1">
        <v>0.3061741</v>
      </c>
      <c r="G29" s="1">
        <v>2.6654199999999999E-2</v>
      </c>
      <c r="H29" s="1">
        <v>9.7843400000000007E-3</v>
      </c>
      <c r="I29" s="1">
        <v>2.7308800000000001E-2</v>
      </c>
      <c r="J29" s="1">
        <v>5.3701900000000002E-5</v>
      </c>
      <c r="K29" s="1">
        <v>1.6132439300000001</v>
      </c>
      <c r="L29" s="1">
        <v>0.16827800000000001</v>
      </c>
      <c r="M29" s="1">
        <v>3.1721800000000001E-2</v>
      </c>
      <c r="N29" s="2">
        <v>1000</v>
      </c>
      <c r="O29" s="2">
        <v>500.05</v>
      </c>
      <c r="P29" s="2">
        <v>1000</v>
      </c>
      <c r="Q29" s="2">
        <v>0.1</v>
      </c>
      <c r="R29" s="2">
        <v>500.05</v>
      </c>
      <c r="S29">
        <v>256</v>
      </c>
      <c r="T29">
        <v>0.22514902816900001</v>
      </c>
      <c r="U29">
        <v>1.990877019</v>
      </c>
    </row>
    <row r="30" spans="1:21">
      <c r="A30" t="s">
        <v>0</v>
      </c>
      <c r="B30">
        <v>2</v>
      </c>
      <c r="C30" t="s">
        <v>1</v>
      </c>
      <c r="D30" s="2">
        <v>0.1</v>
      </c>
      <c r="E30" s="1">
        <v>6.76882E-6</v>
      </c>
      <c r="F30" s="1">
        <v>3.9765336599999999</v>
      </c>
      <c r="G30" s="1">
        <v>2.6654199999999999E-2</v>
      </c>
      <c r="H30" s="1">
        <v>9.7843400000000007E-3</v>
      </c>
      <c r="I30" s="1">
        <v>2.7308800000000001E-2</v>
      </c>
      <c r="J30" s="1">
        <v>5.3701900000000002E-5</v>
      </c>
      <c r="K30" s="1">
        <v>6.4739670699999995E-4</v>
      </c>
      <c r="L30" s="1">
        <v>0.57027497599999999</v>
      </c>
      <c r="M30" s="1">
        <v>999.52949999999998</v>
      </c>
      <c r="N30" s="2">
        <v>1000</v>
      </c>
      <c r="O30" s="2">
        <v>1000</v>
      </c>
      <c r="P30" s="2">
        <v>0.1</v>
      </c>
      <c r="Q30" s="2">
        <v>0.1</v>
      </c>
      <c r="R30" s="2">
        <v>0.1</v>
      </c>
      <c r="S30">
        <v>82</v>
      </c>
      <c r="T30">
        <v>7.9556033139800003E-2</v>
      </c>
      <c r="U30">
        <v>0.51139538957700004</v>
      </c>
    </row>
    <row r="31" spans="1:21">
      <c r="A31" t="s">
        <v>0</v>
      </c>
      <c r="B31">
        <v>15</v>
      </c>
      <c r="C31" t="s">
        <v>1</v>
      </c>
      <c r="D31" s="2">
        <v>0.1</v>
      </c>
      <c r="E31" s="1">
        <v>6.76882E-6</v>
      </c>
      <c r="F31" s="1">
        <v>1241.07744</v>
      </c>
      <c r="G31" s="1">
        <v>2.6654199999999999E-2</v>
      </c>
      <c r="H31" s="1">
        <v>9.7843400000000007E-3</v>
      </c>
      <c r="I31" s="1">
        <v>2.7308800000000001E-2</v>
      </c>
      <c r="J31" s="1">
        <v>5.3701900000000002E-5</v>
      </c>
      <c r="K31" s="1">
        <v>6.7170737000000005E-4</v>
      </c>
      <c r="L31" s="1">
        <v>3.1708210899999999E-2</v>
      </c>
      <c r="M31" s="1">
        <v>1000.0687799999999</v>
      </c>
      <c r="N31" s="2">
        <v>1000</v>
      </c>
      <c r="O31" s="2">
        <v>1000</v>
      </c>
      <c r="P31" s="2">
        <v>0.1</v>
      </c>
      <c r="Q31" s="2">
        <v>0.1</v>
      </c>
      <c r="R31" s="2">
        <v>0.1</v>
      </c>
      <c r="S31">
        <v>46</v>
      </c>
      <c r="T31">
        <v>0.13944505231599999</v>
      </c>
      <c r="U31">
        <v>0.50427601430500002</v>
      </c>
    </row>
    <row r="32" spans="1:21">
      <c r="A32" t="s">
        <v>0</v>
      </c>
      <c r="B32">
        <v>41</v>
      </c>
      <c r="C32" t="s">
        <v>1</v>
      </c>
      <c r="D32" s="2">
        <v>0.1</v>
      </c>
      <c r="E32" s="1">
        <v>6.76882E-6</v>
      </c>
      <c r="F32" s="1">
        <v>2.4591196900000001</v>
      </c>
      <c r="G32" s="1">
        <v>2.6654199999999999E-2</v>
      </c>
      <c r="H32" s="1">
        <v>9.7843400000000007E-3</v>
      </c>
      <c r="I32" s="1">
        <v>2.7308800000000001E-2</v>
      </c>
      <c r="J32" s="1">
        <v>5.3701900000000002E-5</v>
      </c>
      <c r="K32" s="1">
        <v>6.4679303099999998E-4</v>
      </c>
      <c r="L32" s="1">
        <v>1.19184891</v>
      </c>
      <c r="M32" s="1">
        <v>1998.81</v>
      </c>
      <c r="N32" s="2">
        <v>1000</v>
      </c>
      <c r="O32" s="2">
        <v>1000</v>
      </c>
      <c r="P32" s="2">
        <v>0.1</v>
      </c>
      <c r="Q32" s="2">
        <v>0.1</v>
      </c>
      <c r="R32" s="2">
        <v>0.1</v>
      </c>
      <c r="S32">
        <v>64</v>
      </c>
      <c r="T32" s="1">
        <v>1.3959063120100001E-5</v>
      </c>
      <c r="U32" s="1">
        <v>9.6204382931399998E-5</v>
      </c>
    </row>
    <row r="33" spans="1:21">
      <c r="A33" t="s">
        <v>0</v>
      </c>
      <c r="B33">
        <v>18</v>
      </c>
      <c r="C33" t="s">
        <v>1</v>
      </c>
      <c r="D33" s="2">
        <v>0.1</v>
      </c>
      <c r="E33" s="1">
        <v>6.76882E-6</v>
      </c>
      <c r="F33" s="1">
        <v>3366.76584</v>
      </c>
      <c r="G33" s="1">
        <v>2.6654199999999999E-2</v>
      </c>
      <c r="H33" s="1">
        <v>9.7843400000000007E-3</v>
      </c>
      <c r="I33" s="1">
        <v>2.7308800000000001E-2</v>
      </c>
      <c r="J33" s="1">
        <v>5.3701900000000002E-5</v>
      </c>
      <c r="K33" s="1">
        <v>6.4503332400000005E-4</v>
      </c>
      <c r="L33" s="1">
        <v>6.2579609500000002E-5</v>
      </c>
      <c r="M33" s="1">
        <v>1000.1</v>
      </c>
      <c r="N33" s="2">
        <v>1000</v>
      </c>
      <c r="O33" s="2">
        <v>1000</v>
      </c>
      <c r="P33" s="2">
        <v>0.1</v>
      </c>
      <c r="Q33" s="2">
        <v>1000</v>
      </c>
      <c r="R33" s="2">
        <v>0.1</v>
      </c>
      <c r="S33">
        <v>256</v>
      </c>
      <c r="T33">
        <v>0.57761059719700003</v>
      </c>
      <c r="U33">
        <v>1.9959424298499999</v>
      </c>
    </row>
    <row r="34" spans="1:21">
      <c r="A34" t="s">
        <v>0</v>
      </c>
      <c r="B34">
        <v>26</v>
      </c>
      <c r="C34" t="s">
        <v>1</v>
      </c>
      <c r="D34" s="2">
        <v>0.1</v>
      </c>
      <c r="E34" s="1">
        <v>6.76882E-6</v>
      </c>
      <c r="F34" s="1">
        <v>88326.269799999995</v>
      </c>
      <c r="G34" s="1">
        <v>2.6654199999999999E-2</v>
      </c>
      <c r="H34" s="1">
        <v>9.7843400000000007E-3</v>
      </c>
      <c r="I34" s="1">
        <v>2.7308800000000001E-2</v>
      </c>
      <c r="J34" s="1">
        <v>5.3701900000000002E-5</v>
      </c>
      <c r="K34" s="1">
        <v>6.4390577699999998</v>
      </c>
      <c r="L34" s="1">
        <v>1.1262813600000001E-3</v>
      </c>
      <c r="M34" s="1">
        <v>1000.1</v>
      </c>
      <c r="N34" s="2">
        <v>1000</v>
      </c>
      <c r="O34" s="2">
        <v>1000</v>
      </c>
      <c r="P34" s="2">
        <v>0.1</v>
      </c>
      <c r="Q34" s="2">
        <v>1000</v>
      </c>
      <c r="R34" s="2">
        <v>1000</v>
      </c>
      <c r="S34">
        <v>256</v>
      </c>
      <c r="T34">
        <v>0.55080937319099998</v>
      </c>
      <c r="U34">
        <v>1.8941636045100001</v>
      </c>
    </row>
    <row r="35" spans="1:21">
      <c r="A35" t="s">
        <v>0</v>
      </c>
      <c r="B35">
        <v>19</v>
      </c>
      <c r="C35" t="s">
        <v>1</v>
      </c>
      <c r="D35" s="2">
        <v>0.1</v>
      </c>
      <c r="E35" s="1">
        <v>6.76882E-6</v>
      </c>
      <c r="F35" s="1">
        <v>1.05019</v>
      </c>
      <c r="G35" s="1">
        <v>2.6654199999999999E-2</v>
      </c>
      <c r="H35" s="1">
        <v>9.7843400000000007E-3</v>
      </c>
      <c r="I35" s="1">
        <v>2.7308800000000001E-2</v>
      </c>
      <c r="J35" s="1">
        <v>5.3701900000000002E-5</v>
      </c>
      <c r="K35" s="1">
        <v>6.45167</v>
      </c>
      <c r="L35" s="1">
        <v>1146.904</v>
      </c>
      <c r="M35" s="1">
        <v>186.49433300000001</v>
      </c>
      <c r="N35" s="2">
        <v>1000</v>
      </c>
      <c r="O35" s="2">
        <v>1000</v>
      </c>
      <c r="P35" s="2">
        <v>1000</v>
      </c>
      <c r="Q35" s="2">
        <v>0.1</v>
      </c>
      <c r="R35" s="2">
        <v>1000</v>
      </c>
      <c r="S35">
        <v>192</v>
      </c>
      <c r="T35">
        <v>3.3021758084300003E-2</v>
      </c>
      <c r="U35">
        <v>0.14009945440900001</v>
      </c>
    </row>
    <row r="36" spans="1:21">
      <c r="A36" t="s">
        <v>0</v>
      </c>
      <c r="B36">
        <v>52</v>
      </c>
      <c r="C36" t="s">
        <v>1</v>
      </c>
      <c r="D36" s="2">
        <v>0.1</v>
      </c>
      <c r="E36" s="1">
        <v>6.76882E-6</v>
      </c>
      <c r="F36" s="1">
        <v>2.3840133300000002</v>
      </c>
      <c r="G36" s="1">
        <v>2.6654199999999999E-2</v>
      </c>
      <c r="H36" s="1">
        <v>9.7843400000000007E-3</v>
      </c>
      <c r="I36" s="1">
        <v>2.7308800000000001E-2</v>
      </c>
      <c r="J36" s="1">
        <v>5.3701900000000002E-5</v>
      </c>
      <c r="K36" s="1">
        <v>6.46793E-4</v>
      </c>
      <c r="L36" s="1">
        <v>0.81953266700000005</v>
      </c>
      <c r="M36" s="1">
        <v>1332.58</v>
      </c>
      <c r="N36" s="2">
        <v>1000</v>
      </c>
      <c r="O36" s="2">
        <v>1000</v>
      </c>
      <c r="P36" s="2">
        <v>1000</v>
      </c>
      <c r="Q36" s="2">
        <v>1000</v>
      </c>
      <c r="R36" s="2">
        <v>0.1</v>
      </c>
      <c r="S36">
        <v>192</v>
      </c>
      <c r="T36">
        <v>3.3022444920599997E-2</v>
      </c>
      <c r="U36">
        <v>0.140102368408</v>
      </c>
    </row>
    <row r="37" spans="1:21">
      <c r="A37" t="s">
        <v>0</v>
      </c>
      <c r="B37">
        <v>32</v>
      </c>
      <c r="C37" t="s">
        <v>1</v>
      </c>
      <c r="D37" s="2">
        <v>0.1</v>
      </c>
      <c r="E37" s="1">
        <v>6.76882E-6</v>
      </c>
      <c r="F37" s="1">
        <v>10494.7333</v>
      </c>
      <c r="G37" s="1">
        <v>2.6654199999999999E-2</v>
      </c>
      <c r="H37" s="1">
        <v>9.7843400000000007E-3</v>
      </c>
      <c r="I37" s="1">
        <v>2.7308800000000001E-2</v>
      </c>
      <c r="J37" s="1">
        <v>5.3701900000000002E-5</v>
      </c>
      <c r="K37" s="1">
        <v>6.45167</v>
      </c>
      <c r="L37" s="1">
        <v>0.81953266700000005</v>
      </c>
      <c r="M37" s="1">
        <v>1332.58</v>
      </c>
      <c r="N37" s="2">
        <v>1000</v>
      </c>
      <c r="O37" s="2">
        <v>1000</v>
      </c>
      <c r="P37" s="2">
        <v>1000</v>
      </c>
      <c r="Q37" s="2">
        <v>1000</v>
      </c>
      <c r="R37" s="2">
        <v>1000</v>
      </c>
      <c r="S37">
        <v>192</v>
      </c>
      <c r="T37">
        <v>3.3022444855399999E-2</v>
      </c>
      <c r="U37">
        <v>0.140102368132</v>
      </c>
    </row>
    <row r="38" spans="1:21">
      <c r="A38" t="s">
        <v>0</v>
      </c>
      <c r="B38">
        <v>40</v>
      </c>
      <c r="C38" t="s">
        <v>1</v>
      </c>
      <c r="D38" s="2">
        <v>1000</v>
      </c>
      <c r="E38" s="1">
        <v>6.7688200000000004E-2</v>
      </c>
      <c r="F38" s="1">
        <v>1737527.21</v>
      </c>
      <c r="G38" s="1">
        <v>240.965</v>
      </c>
      <c r="H38" s="1">
        <v>108.51900000000001</v>
      </c>
      <c r="I38" s="1">
        <v>307.79399999999998</v>
      </c>
      <c r="J38" s="1">
        <v>0.51533600000000002</v>
      </c>
      <c r="K38" s="1">
        <v>63492.427100000001</v>
      </c>
      <c r="L38" s="1">
        <v>41.190866900000003</v>
      </c>
      <c r="M38" s="1">
        <v>1292.2090000000001</v>
      </c>
      <c r="N38" s="2">
        <v>0.1</v>
      </c>
      <c r="O38" s="2">
        <v>0.1</v>
      </c>
      <c r="P38" s="2">
        <v>0.1</v>
      </c>
      <c r="Q38" s="2">
        <v>0.1</v>
      </c>
      <c r="R38" s="2">
        <v>500.05</v>
      </c>
      <c r="S38">
        <v>384</v>
      </c>
      <c r="T38">
        <v>3.0709460192199999E-3</v>
      </c>
      <c r="U38">
        <v>1.00870938311</v>
      </c>
    </row>
    <row r="39" spans="1:21">
      <c r="A39" t="s">
        <v>0</v>
      </c>
      <c r="B39">
        <v>53</v>
      </c>
      <c r="C39" t="s">
        <v>1</v>
      </c>
      <c r="D39" s="2">
        <v>1000</v>
      </c>
      <c r="E39" s="1">
        <v>6.7688200000000004E-2</v>
      </c>
      <c r="F39" s="1">
        <v>1520263.12</v>
      </c>
      <c r="G39" s="1">
        <v>240.965</v>
      </c>
      <c r="H39" s="1">
        <v>108.51900000000001</v>
      </c>
      <c r="I39" s="1">
        <v>307.79399999999998</v>
      </c>
      <c r="J39" s="1">
        <v>0.51533600000000002</v>
      </c>
      <c r="K39" s="1">
        <v>280144.125</v>
      </c>
      <c r="L39" s="1">
        <v>7.3753686700000001E-5</v>
      </c>
      <c r="M39" s="1">
        <v>0.19992599999999999</v>
      </c>
      <c r="N39" s="2">
        <v>0.1</v>
      </c>
      <c r="O39" s="2">
        <v>0.1</v>
      </c>
      <c r="P39" s="2">
        <v>500.05</v>
      </c>
      <c r="Q39" s="2">
        <v>1000</v>
      </c>
      <c r="R39" s="2">
        <v>0.1</v>
      </c>
      <c r="S39">
        <v>128</v>
      </c>
      <c r="T39" s="1">
        <v>2.1687887428899999E-5</v>
      </c>
      <c r="U39">
        <v>1.01700996328</v>
      </c>
    </row>
    <row r="40" spans="1:21">
      <c r="A40" t="s">
        <v>0</v>
      </c>
      <c r="B40">
        <v>54</v>
      </c>
      <c r="C40" t="s">
        <v>1</v>
      </c>
      <c r="D40" s="2">
        <v>1000</v>
      </c>
      <c r="E40" s="1">
        <v>6.7688200000000004E-2</v>
      </c>
      <c r="F40" s="1">
        <v>668410.598</v>
      </c>
      <c r="G40" s="1">
        <v>240.965</v>
      </c>
      <c r="H40" s="1">
        <v>108.51900000000001</v>
      </c>
      <c r="I40" s="1">
        <v>307.79399999999998</v>
      </c>
      <c r="J40" s="1">
        <v>0.51533600000000002</v>
      </c>
      <c r="K40" s="1">
        <v>1132607.3899999999</v>
      </c>
      <c r="L40" s="1">
        <v>839.75821499999995</v>
      </c>
      <c r="M40" s="1">
        <v>160.34185299999999</v>
      </c>
      <c r="N40" s="2">
        <v>0.1</v>
      </c>
      <c r="O40" s="2">
        <v>0.1</v>
      </c>
      <c r="P40" s="2">
        <v>1000</v>
      </c>
      <c r="Q40" s="2">
        <v>0.1</v>
      </c>
      <c r="R40" s="2">
        <v>500.05</v>
      </c>
      <c r="S40">
        <v>512</v>
      </c>
      <c r="T40">
        <v>0.41503105185</v>
      </c>
      <c r="U40">
        <v>2.1375576271900001</v>
      </c>
    </row>
    <row r="41" spans="1:21">
      <c r="A41" t="s">
        <v>0</v>
      </c>
      <c r="B41">
        <v>49</v>
      </c>
      <c r="C41" t="s">
        <v>1</v>
      </c>
      <c r="D41" s="2">
        <v>1000</v>
      </c>
      <c r="E41" s="1">
        <v>6.7688200000000004E-2</v>
      </c>
      <c r="F41" s="1">
        <v>1799353.93</v>
      </c>
      <c r="G41" s="1">
        <v>240.965</v>
      </c>
      <c r="H41" s="1">
        <v>108.51900000000001</v>
      </c>
      <c r="I41" s="1">
        <v>307.79399999999998</v>
      </c>
      <c r="J41" s="1">
        <v>0.51533600000000002</v>
      </c>
      <c r="K41" s="1">
        <v>1729.6172099999999</v>
      </c>
      <c r="L41" s="1">
        <v>0.826596</v>
      </c>
      <c r="M41" s="1">
        <v>1332.57267</v>
      </c>
      <c r="N41" s="2">
        <v>0.1</v>
      </c>
      <c r="O41" s="2">
        <v>0.1</v>
      </c>
      <c r="P41" s="2">
        <v>1000</v>
      </c>
      <c r="Q41" s="2">
        <v>1000</v>
      </c>
      <c r="R41" s="2">
        <v>500.05</v>
      </c>
      <c r="S41">
        <v>384</v>
      </c>
      <c r="T41">
        <v>3.5103696645499998E-3</v>
      </c>
      <c r="U41">
        <v>1.0099502779</v>
      </c>
    </row>
    <row r="42" spans="1:21">
      <c r="A42" t="s">
        <v>0</v>
      </c>
      <c r="B42">
        <v>50</v>
      </c>
      <c r="C42" t="s">
        <v>1</v>
      </c>
      <c r="D42" s="2">
        <v>1000</v>
      </c>
      <c r="E42" s="1">
        <v>6.7688200000000004E-2</v>
      </c>
      <c r="F42" s="1">
        <v>1800103.75</v>
      </c>
      <c r="G42" s="1">
        <v>240.965</v>
      </c>
      <c r="H42" s="1">
        <v>108.51900000000001</v>
      </c>
      <c r="I42" s="1">
        <v>307.79399999999998</v>
      </c>
      <c r="J42" s="1">
        <v>0.51533600000000002</v>
      </c>
      <c r="K42" s="1">
        <v>521.99715600000002</v>
      </c>
      <c r="L42" s="1">
        <v>6.57045549E-3</v>
      </c>
      <c r="M42" s="1">
        <v>1333.39</v>
      </c>
      <c r="N42" s="2">
        <v>0.1</v>
      </c>
      <c r="O42" s="2">
        <v>500.05</v>
      </c>
      <c r="P42" s="2">
        <v>0.1</v>
      </c>
      <c r="Q42" s="2">
        <v>1000</v>
      </c>
      <c r="R42" s="2">
        <v>0.1</v>
      </c>
      <c r="S42">
        <v>384</v>
      </c>
      <c r="T42">
        <v>3.3348660852299998E-3</v>
      </c>
      <c r="U42">
        <v>1.00946661976</v>
      </c>
    </row>
    <row r="43" spans="1:21">
      <c r="A43" t="s">
        <v>0</v>
      </c>
      <c r="B43">
        <v>6</v>
      </c>
      <c r="C43" t="s">
        <v>1</v>
      </c>
      <c r="D43" s="2">
        <v>1000</v>
      </c>
      <c r="E43" s="1">
        <v>6.7688200000000004E-2</v>
      </c>
      <c r="F43" s="1">
        <v>2034900.86</v>
      </c>
      <c r="G43" s="1">
        <v>240.965</v>
      </c>
      <c r="H43" s="1">
        <v>108.51900000000001</v>
      </c>
      <c r="I43" s="1">
        <v>307.79399999999998</v>
      </c>
      <c r="J43" s="1">
        <v>0.51533600000000002</v>
      </c>
      <c r="K43" s="1">
        <v>894.92699000000005</v>
      </c>
      <c r="L43" s="1">
        <v>9.1759838800000004E-3</v>
      </c>
      <c r="M43" s="1">
        <v>1333.39</v>
      </c>
      <c r="N43" s="2">
        <v>0.1</v>
      </c>
      <c r="O43" s="2">
        <v>500.05</v>
      </c>
      <c r="P43" s="2">
        <v>0.1</v>
      </c>
      <c r="Q43" s="2">
        <v>1000</v>
      </c>
      <c r="R43" s="2">
        <v>1000</v>
      </c>
      <c r="S43">
        <v>384</v>
      </c>
      <c r="T43">
        <v>4.2886323147199997E-3</v>
      </c>
      <c r="U43">
        <v>1.0152357355199999</v>
      </c>
    </row>
    <row r="44" spans="1:21">
      <c r="A44" t="s">
        <v>0</v>
      </c>
      <c r="B44">
        <v>17</v>
      </c>
      <c r="C44" t="s">
        <v>1</v>
      </c>
      <c r="D44" s="2">
        <v>1000</v>
      </c>
      <c r="E44" s="1">
        <v>6.7688200000000004E-2</v>
      </c>
      <c r="F44" s="1">
        <v>1520325.06</v>
      </c>
      <c r="G44" s="1">
        <v>240.965</v>
      </c>
      <c r="H44" s="1">
        <v>108.51900000000001</v>
      </c>
      <c r="I44" s="1">
        <v>307.79399999999998</v>
      </c>
      <c r="J44" s="1">
        <v>0.51533600000000002</v>
      </c>
      <c r="K44" s="1">
        <v>283068.79399999999</v>
      </c>
      <c r="L44" s="1">
        <v>6.1386306599999998E-5</v>
      </c>
      <c r="M44" s="1">
        <v>0.19993839999999999</v>
      </c>
      <c r="N44" s="2">
        <v>0.1</v>
      </c>
      <c r="O44" s="2">
        <v>600.04</v>
      </c>
      <c r="P44" s="2">
        <v>400.06</v>
      </c>
      <c r="Q44" s="2">
        <v>1000</v>
      </c>
      <c r="R44" s="2">
        <v>800.02</v>
      </c>
      <c r="S44">
        <v>320</v>
      </c>
      <c r="T44">
        <v>0.25584240094999999</v>
      </c>
      <c r="U44">
        <v>1.9651917397400001</v>
      </c>
    </row>
    <row r="45" spans="1:21">
      <c r="A45" t="s">
        <v>0</v>
      </c>
      <c r="B45">
        <v>25</v>
      </c>
      <c r="C45" t="s">
        <v>1</v>
      </c>
      <c r="D45" s="2">
        <v>1000</v>
      </c>
      <c r="E45" s="1">
        <v>6.7688200000000004E-2</v>
      </c>
      <c r="F45" s="1">
        <v>1516670.83</v>
      </c>
      <c r="G45" s="1">
        <v>240.965</v>
      </c>
      <c r="H45" s="1">
        <v>108.51900000000001</v>
      </c>
      <c r="I45" s="1">
        <v>307.79399999999998</v>
      </c>
      <c r="J45" s="1">
        <v>0.51533600000000002</v>
      </c>
      <c r="K45" s="1">
        <v>285942.34899999999</v>
      </c>
      <c r="L45" s="1">
        <v>5.8886845799999997E-2</v>
      </c>
      <c r="M45" s="1">
        <v>0.14111316700000001</v>
      </c>
      <c r="N45" s="2">
        <v>0.1</v>
      </c>
      <c r="O45" s="2">
        <v>666.7</v>
      </c>
      <c r="P45" s="2">
        <v>333.4</v>
      </c>
      <c r="Q45" s="2">
        <v>0.1</v>
      </c>
      <c r="R45" s="2">
        <v>500.05</v>
      </c>
      <c r="S45">
        <v>384</v>
      </c>
      <c r="T45">
        <v>0.20058208275</v>
      </c>
      <c r="U45">
        <v>1.8108466647200001</v>
      </c>
    </row>
    <row r="46" spans="1:21">
      <c r="A46" t="s">
        <v>0</v>
      </c>
      <c r="B46">
        <v>4</v>
      </c>
      <c r="C46" t="s">
        <v>1</v>
      </c>
      <c r="D46" s="2">
        <v>1000</v>
      </c>
      <c r="E46" s="1">
        <v>6.7688200000000004E-2</v>
      </c>
      <c r="F46" s="1">
        <v>1737076.35</v>
      </c>
      <c r="G46" s="1">
        <v>240.965</v>
      </c>
      <c r="H46" s="1">
        <v>108.51900000000001</v>
      </c>
      <c r="I46" s="1">
        <v>307.79399999999998</v>
      </c>
      <c r="J46" s="1">
        <v>0.51533600000000002</v>
      </c>
      <c r="K46" s="1">
        <v>63334.993199999997</v>
      </c>
      <c r="L46" s="1">
        <v>41.108694300000003</v>
      </c>
      <c r="M46" s="1">
        <v>1292.2921899999999</v>
      </c>
      <c r="N46" s="2">
        <v>0.1</v>
      </c>
      <c r="O46" s="2">
        <v>1000</v>
      </c>
      <c r="P46" s="2">
        <v>0.1</v>
      </c>
      <c r="Q46" s="2">
        <v>0.1</v>
      </c>
      <c r="R46" s="2">
        <v>0.1</v>
      </c>
      <c r="S46">
        <v>192</v>
      </c>
      <c r="T46">
        <v>3.11491240798E-2</v>
      </c>
      <c r="U46">
        <v>0.132237211943</v>
      </c>
    </row>
    <row r="47" spans="1:21">
      <c r="A47" t="s">
        <v>0</v>
      </c>
      <c r="B47">
        <v>11</v>
      </c>
      <c r="C47" t="s">
        <v>1</v>
      </c>
      <c r="D47" s="2">
        <v>1000</v>
      </c>
      <c r="E47" s="1">
        <v>6.7688200000000004E-2</v>
      </c>
      <c r="F47" s="1">
        <v>1755091.09</v>
      </c>
      <c r="G47" s="1">
        <v>240.965</v>
      </c>
      <c r="H47" s="1">
        <v>108.51900000000001</v>
      </c>
      <c r="I47" s="1">
        <v>307.79399999999998</v>
      </c>
      <c r="J47" s="1">
        <v>0.51533600000000002</v>
      </c>
      <c r="K47" s="1">
        <v>65505.8609</v>
      </c>
      <c r="L47" s="1">
        <v>42.010376000000001</v>
      </c>
      <c r="M47" s="1">
        <v>1291.3899799999999</v>
      </c>
      <c r="N47" s="2">
        <v>0.1</v>
      </c>
      <c r="O47" s="2">
        <v>1000</v>
      </c>
      <c r="P47" s="2">
        <v>0.1</v>
      </c>
      <c r="Q47" s="2">
        <v>0.1</v>
      </c>
      <c r="R47" s="2">
        <v>1000</v>
      </c>
      <c r="S47">
        <v>192</v>
      </c>
      <c r="T47">
        <v>3.11401602314E-2</v>
      </c>
      <c r="U47">
        <v>0.13216253714500001</v>
      </c>
    </row>
    <row r="48" spans="1:21">
      <c r="A48" t="s">
        <v>0</v>
      </c>
      <c r="B48">
        <v>51</v>
      </c>
      <c r="C48" t="s">
        <v>1</v>
      </c>
      <c r="D48" s="2">
        <v>1000</v>
      </c>
      <c r="E48" s="1">
        <v>6.7688200000000004E-2</v>
      </c>
      <c r="F48" s="1">
        <v>386616.28399999999</v>
      </c>
      <c r="G48" s="1">
        <v>240.965</v>
      </c>
      <c r="H48" s="1">
        <v>108.51900000000001</v>
      </c>
      <c r="I48" s="1">
        <v>307.79399999999998</v>
      </c>
      <c r="J48" s="1">
        <v>0.51533600000000002</v>
      </c>
      <c r="K48" s="1">
        <v>1415043.49</v>
      </c>
      <c r="L48" s="1">
        <v>1119.6362899999999</v>
      </c>
      <c r="M48" s="1">
        <v>213.76356999999999</v>
      </c>
      <c r="N48" s="2">
        <v>0.1</v>
      </c>
      <c r="O48" s="2">
        <v>1000</v>
      </c>
      <c r="P48" s="2">
        <v>1000</v>
      </c>
      <c r="Q48" s="2">
        <v>0.1</v>
      </c>
      <c r="R48" s="2">
        <v>500.05</v>
      </c>
      <c r="S48">
        <v>384</v>
      </c>
      <c r="T48">
        <v>3.1730374458199999E-3</v>
      </c>
      <c r="U48">
        <v>1.0089975580099999</v>
      </c>
    </row>
    <row r="49" spans="1:21">
      <c r="A49" t="s">
        <v>0</v>
      </c>
      <c r="B49">
        <v>28</v>
      </c>
      <c r="C49" t="s">
        <v>1</v>
      </c>
      <c r="D49" s="2">
        <v>1000</v>
      </c>
      <c r="E49" s="1">
        <v>6.7688200000000004E-2</v>
      </c>
      <c r="F49" s="1">
        <v>1798818.28</v>
      </c>
      <c r="G49" s="1">
        <v>240.965</v>
      </c>
      <c r="H49" s="1">
        <v>108.51900000000001</v>
      </c>
      <c r="I49" s="1">
        <v>307.79399999999998</v>
      </c>
      <c r="J49" s="1">
        <v>0.51533600000000002</v>
      </c>
      <c r="K49" s="1">
        <v>1727.59313</v>
      </c>
      <c r="L49" s="1">
        <v>0.82658200000000004</v>
      </c>
      <c r="M49" s="1">
        <v>1332.57267</v>
      </c>
      <c r="N49" s="2">
        <v>0.1</v>
      </c>
      <c r="O49" s="2">
        <v>1000</v>
      </c>
      <c r="P49" s="2">
        <v>1000</v>
      </c>
      <c r="Q49" s="2">
        <v>1000</v>
      </c>
      <c r="R49" s="2">
        <v>0.1</v>
      </c>
      <c r="S49">
        <v>192</v>
      </c>
      <c r="T49">
        <v>3.33163272924E-2</v>
      </c>
      <c r="U49">
        <v>0.14139680258099999</v>
      </c>
    </row>
    <row r="50" spans="1:21">
      <c r="A50" t="s">
        <v>0</v>
      </c>
      <c r="B50">
        <v>60</v>
      </c>
      <c r="C50" t="s">
        <v>1</v>
      </c>
      <c r="D50" s="2">
        <v>1000</v>
      </c>
      <c r="E50" s="1">
        <v>6.7688200000000004E-2</v>
      </c>
      <c r="F50" s="1">
        <v>1520257.97</v>
      </c>
      <c r="G50" s="1">
        <v>240.965</v>
      </c>
      <c r="H50" s="1">
        <v>108.51900000000001</v>
      </c>
      <c r="I50" s="1">
        <v>307.79399999999998</v>
      </c>
      <c r="J50" s="1">
        <v>0.51533600000000002</v>
      </c>
      <c r="K50" s="1">
        <v>280150.42200000002</v>
      </c>
      <c r="L50" s="1">
        <v>1.3560168799999999E-4</v>
      </c>
      <c r="M50" s="1">
        <v>0.19986399999999999</v>
      </c>
      <c r="N50" s="2">
        <v>0.1</v>
      </c>
      <c r="O50" s="2">
        <v>1000</v>
      </c>
      <c r="P50" s="2">
        <v>1000</v>
      </c>
      <c r="Q50" s="2">
        <v>1000</v>
      </c>
      <c r="R50" s="2">
        <v>0.1</v>
      </c>
      <c r="S50">
        <v>64</v>
      </c>
      <c r="T50">
        <v>1.8599793815799999E-4</v>
      </c>
      <c r="U50">
        <v>7.2449414155699996E-4</v>
      </c>
    </row>
    <row r="51" spans="1:21">
      <c r="A51" t="s">
        <v>0</v>
      </c>
      <c r="B51">
        <v>36</v>
      </c>
      <c r="C51" t="s">
        <v>1</v>
      </c>
      <c r="D51" s="2">
        <v>1000</v>
      </c>
      <c r="E51" s="1">
        <v>6.7688200000000004E-2</v>
      </c>
      <c r="F51" s="1">
        <v>2115669.2200000002</v>
      </c>
      <c r="G51" s="1">
        <v>240.965</v>
      </c>
      <c r="H51" s="1">
        <v>108.51900000000001</v>
      </c>
      <c r="I51" s="1">
        <v>307.79399999999998</v>
      </c>
      <c r="J51" s="1">
        <v>0.51533600000000002</v>
      </c>
      <c r="K51" s="1">
        <v>2404.9619299999999</v>
      </c>
      <c r="L51" s="1">
        <v>0.82944673999999996</v>
      </c>
      <c r="M51" s="1">
        <v>1332.5706700000001</v>
      </c>
      <c r="N51" s="2">
        <v>0.1</v>
      </c>
      <c r="O51" s="2">
        <v>1000</v>
      </c>
      <c r="P51" s="2">
        <v>1000</v>
      </c>
      <c r="Q51" s="2">
        <v>1000</v>
      </c>
      <c r="R51" s="2">
        <v>1000</v>
      </c>
      <c r="S51">
        <v>192</v>
      </c>
      <c r="T51">
        <v>3.3367993394500001E-2</v>
      </c>
      <c r="U51">
        <v>0.141576474191</v>
      </c>
    </row>
    <row r="52" spans="1:21">
      <c r="A52" t="s">
        <v>0</v>
      </c>
      <c r="B52">
        <v>45</v>
      </c>
      <c r="C52" t="s">
        <v>1</v>
      </c>
      <c r="D52" s="2">
        <v>1000</v>
      </c>
      <c r="E52" s="1">
        <v>6.7688200000000004E-2</v>
      </c>
      <c r="F52" s="1">
        <v>992872.73400000005</v>
      </c>
      <c r="G52" s="1">
        <v>240.965</v>
      </c>
      <c r="H52" s="1">
        <v>108.51900000000001</v>
      </c>
      <c r="I52" s="1">
        <v>307.79399999999998</v>
      </c>
      <c r="J52" s="1">
        <v>0.51533600000000002</v>
      </c>
      <c r="K52" s="1">
        <v>5.2176097300000002E-2</v>
      </c>
      <c r="L52" s="1">
        <v>0.60072565600000005</v>
      </c>
      <c r="M52" s="1">
        <v>999.49896999999999</v>
      </c>
      <c r="N52" s="2">
        <v>1000</v>
      </c>
      <c r="O52" s="2">
        <v>0.1</v>
      </c>
      <c r="P52" s="2">
        <v>1000</v>
      </c>
      <c r="Q52" s="2">
        <v>1000</v>
      </c>
      <c r="R52" s="2">
        <v>1000</v>
      </c>
      <c r="S52">
        <v>256</v>
      </c>
      <c r="T52">
        <v>0.58182722835599998</v>
      </c>
      <c r="U52">
        <v>1.9945113004399999</v>
      </c>
    </row>
    <row r="53" spans="1:21">
      <c r="A53" t="s">
        <v>0</v>
      </c>
      <c r="B53">
        <v>20</v>
      </c>
      <c r="C53" t="s">
        <v>1</v>
      </c>
      <c r="D53" s="2">
        <v>1000</v>
      </c>
      <c r="E53" s="1">
        <v>6.7688200000000004E-2</v>
      </c>
      <c r="F53" s="1">
        <v>1514825.31</v>
      </c>
      <c r="G53" s="1">
        <v>240.965</v>
      </c>
      <c r="H53" s="1">
        <v>108.51900000000001</v>
      </c>
      <c r="I53" s="1">
        <v>307.79399999999998</v>
      </c>
      <c r="J53" s="1">
        <v>0.51533600000000002</v>
      </c>
      <c r="K53" s="1">
        <v>1.3210126</v>
      </c>
      <c r="L53" s="1">
        <v>2.8446456E-3</v>
      </c>
      <c r="M53" s="1">
        <v>800.11799900000005</v>
      </c>
      <c r="N53" s="2">
        <v>1000</v>
      </c>
      <c r="O53" s="2">
        <v>200.08</v>
      </c>
      <c r="P53" s="2">
        <v>0.1</v>
      </c>
      <c r="Q53" s="2">
        <v>0.1</v>
      </c>
      <c r="R53" s="2">
        <v>1000</v>
      </c>
      <c r="S53">
        <v>320</v>
      </c>
      <c r="T53">
        <v>0.46856683505899999</v>
      </c>
      <c r="U53">
        <v>2.3030654628999998</v>
      </c>
    </row>
    <row r="54" spans="1:21">
      <c r="A54" t="s">
        <v>0</v>
      </c>
      <c r="B54">
        <v>56</v>
      </c>
      <c r="C54" t="s">
        <v>1</v>
      </c>
      <c r="D54" s="2">
        <v>1000</v>
      </c>
      <c r="E54" s="1">
        <v>6.7688200000000004E-2</v>
      </c>
      <c r="F54" s="1">
        <v>1517627.63</v>
      </c>
      <c r="G54" s="1">
        <v>240.965</v>
      </c>
      <c r="H54" s="1">
        <v>108.51900000000001</v>
      </c>
      <c r="I54" s="1">
        <v>307.79399999999998</v>
      </c>
      <c r="J54" s="1">
        <v>0.51533600000000002</v>
      </c>
      <c r="K54" s="1">
        <v>1.09284172</v>
      </c>
      <c r="L54" s="1">
        <v>2.0302845000000001E-5</v>
      </c>
      <c r="M54" s="1">
        <v>0.199979667</v>
      </c>
      <c r="N54" s="2">
        <v>1000</v>
      </c>
      <c r="O54" s="2">
        <v>333.4</v>
      </c>
      <c r="P54" s="2">
        <v>166.75</v>
      </c>
      <c r="Q54" s="2">
        <v>833.35</v>
      </c>
      <c r="R54" s="2">
        <v>333.4</v>
      </c>
      <c r="S54">
        <v>384</v>
      </c>
      <c r="T54">
        <v>0.36892243918599998</v>
      </c>
      <c r="U54">
        <v>2.2163051462399999</v>
      </c>
    </row>
    <row r="55" spans="1:21">
      <c r="A55" t="s">
        <v>0</v>
      </c>
      <c r="B55">
        <v>43</v>
      </c>
      <c r="C55" t="s">
        <v>1</v>
      </c>
      <c r="D55" s="2">
        <v>1000</v>
      </c>
      <c r="E55" s="1">
        <v>6.7688200000000004E-2</v>
      </c>
      <c r="F55" s="1">
        <v>1511184.61</v>
      </c>
      <c r="G55" s="1">
        <v>240.965</v>
      </c>
      <c r="H55" s="1">
        <v>108.51900000000001</v>
      </c>
      <c r="I55" s="1">
        <v>307.79399999999998</v>
      </c>
      <c r="J55" s="1">
        <v>0.51533600000000002</v>
      </c>
      <c r="K55" s="1">
        <v>2.2492200000000001E-3</v>
      </c>
      <c r="L55" s="1">
        <v>6.4335431200000003E-3</v>
      </c>
      <c r="M55" s="1">
        <v>1999.99</v>
      </c>
      <c r="N55" s="2">
        <v>1000</v>
      </c>
      <c r="O55" s="2">
        <v>500.05</v>
      </c>
      <c r="P55" s="2">
        <v>0.1</v>
      </c>
      <c r="Q55" s="2">
        <v>0.1</v>
      </c>
      <c r="R55" s="2">
        <v>0.1</v>
      </c>
      <c r="S55">
        <v>128</v>
      </c>
      <c r="T55" s="1">
        <v>1.4646532634199999E-8</v>
      </c>
      <c r="U55">
        <v>1.00088015271</v>
      </c>
    </row>
    <row r="56" spans="1:21">
      <c r="A56" t="s">
        <v>0</v>
      </c>
      <c r="B56">
        <v>58</v>
      </c>
      <c r="C56" t="s">
        <v>1</v>
      </c>
      <c r="D56" s="2">
        <v>1000</v>
      </c>
      <c r="E56" s="1">
        <v>6.7688200000000004E-2</v>
      </c>
      <c r="F56" s="1">
        <v>1513817.93</v>
      </c>
      <c r="G56" s="1">
        <v>240.965</v>
      </c>
      <c r="H56" s="1">
        <v>108.51900000000001</v>
      </c>
      <c r="I56" s="1">
        <v>307.79399999999998</v>
      </c>
      <c r="J56" s="1">
        <v>0.51533600000000002</v>
      </c>
      <c r="K56" s="1">
        <v>2.233975E-3</v>
      </c>
      <c r="L56" s="1">
        <v>3.8720344499999998E-3</v>
      </c>
      <c r="M56" s="1">
        <v>1000.1</v>
      </c>
      <c r="N56" s="2">
        <v>1000</v>
      </c>
      <c r="O56" s="2">
        <v>500.05</v>
      </c>
      <c r="P56" s="2">
        <v>0.1</v>
      </c>
      <c r="Q56" s="2">
        <v>0.1</v>
      </c>
      <c r="R56" s="2">
        <v>0.1</v>
      </c>
      <c r="S56">
        <v>256</v>
      </c>
      <c r="T56" s="1">
        <v>1.73255875086E-8</v>
      </c>
      <c r="U56">
        <v>1.0008848505000001</v>
      </c>
    </row>
    <row r="57" spans="1:21">
      <c r="A57" t="s">
        <v>0</v>
      </c>
      <c r="B57">
        <v>38</v>
      </c>
      <c r="C57" t="s">
        <v>1</v>
      </c>
      <c r="D57" s="2">
        <v>1000</v>
      </c>
      <c r="E57" s="1">
        <v>6.7688200000000004E-2</v>
      </c>
      <c r="F57" s="1">
        <v>1517918.1</v>
      </c>
      <c r="G57" s="1">
        <v>240.965</v>
      </c>
      <c r="H57" s="1">
        <v>108.51900000000001</v>
      </c>
      <c r="I57" s="1">
        <v>307.79399999999998</v>
      </c>
      <c r="J57" s="1">
        <v>0.51533600000000002</v>
      </c>
      <c r="K57" s="1">
        <v>2.21123667E-3</v>
      </c>
      <c r="L57" s="1">
        <v>8.0324142199999997E-5</v>
      </c>
      <c r="M57" s="1">
        <v>1333.4</v>
      </c>
      <c r="N57" s="2">
        <v>1000</v>
      </c>
      <c r="O57" s="2">
        <v>500.05</v>
      </c>
      <c r="P57" s="2">
        <v>0.1</v>
      </c>
      <c r="Q57" s="2">
        <v>1000</v>
      </c>
      <c r="R57" s="2">
        <v>0.1</v>
      </c>
      <c r="S57">
        <v>384</v>
      </c>
      <c r="T57">
        <v>3.4380853273599998E-3</v>
      </c>
      <c r="U57">
        <v>1.0106307007299999</v>
      </c>
    </row>
    <row r="58" spans="1:21">
      <c r="A58" t="s">
        <v>0</v>
      </c>
      <c r="B58">
        <v>57</v>
      </c>
      <c r="C58" t="s">
        <v>1</v>
      </c>
      <c r="D58" s="2">
        <v>1000</v>
      </c>
      <c r="E58" s="1">
        <v>6.7688200000000004E-2</v>
      </c>
      <c r="F58" s="1">
        <v>1530139.82</v>
      </c>
      <c r="G58" s="1">
        <v>240.965</v>
      </c>
      <c r="H58" s="1">
        <v>108.51900000000001</v>
      </c>
      <c r="I58" s="1">
        <v>307.79399999999998</v>
      </c>
      <c r="J58" s="1">
        <v>0.51533600000000002</v>
      </c>
      <c r="K58" s="1">
        <v>3.2741203900000002</v>
      </c>
      <c r="L58" s="1">
        <v>1.3950732299999999E-4</v>
      </c>
      <c r="M58" s="1">
        <v>1333.4</v>
      </c>
      <c r="N58" s="2">
        <v>1000</v>
      </c>
      <c r="O58" s="2">
        <v>500.05</v>
      </c>
      <c r="P58" s="2">
        <v>0.1</v>
      </c>
      <c r="Q58" s="2">
        <v>1000</v>
      </c>
      <c r="R58" s="2">
        <v>1000</v>
      </c>
      <c r="S58">
        <v>384</v>
      </c>
      <c r="T58">
        <v>4.8670917844699998E-3</v>
      </c>
      <c r="U58">
        <v>1.0856938148099999</v>
      </c>
    </row>
    <row r="59" spans="1:21">
      <c r="A59" t="s">
        <v>0</v>
      </c>
      <c r="B59">
        <v>33</v>
      </c>
      <c r="C59" t="s">
        <v>1</v>
      </c>
      <c r="D59" s="2">
        <v>1000</v>
      </c>
      <c r="E59" s="1">
        <v>6.7688200000000004E-2</v>
      </c>
      <c r="F59" s="1">
        <v>10.034526700000001</v>
      </c>
      <c r="G59" s="1">
        <v>240.965</v>
      </c>
      <c r="H59" s="1">
        <v>108.51900000000001</v>
      </c>
      <c r="I59" s="1">
        <v>307.79399999999998</v>
      </c>
      <c r="J59" s="1">
        <v>0.51533600000000002</v>
      </c>
      <c r="K59" s="1">
        <v>1.2531785E-2</v>
      </c>
      <c r="L59" s="1">
        <v>1107.40867</v>
      </c>
      <c r="M59" s="1">
        <v>225.99199999999999</v>
      </c>
      <c r="N59" s="2">
        <v>1000</v>
      </c>
      <c r="O59" s="2">
        <v>500.05</v>
      </c>
      <c r="P59" s="2">
        <v>1000</v>
      </c>
      <c r="Q59" s="2">
        <v>0.1</v>
      </c>
      <c r="R59" s="2">
        <v>0.1</v>
      </c>
      <c r="S59">
        <v>384</v>
      </c>
      <c r="T59">
        <v>2.85682206525E-3</v>
      </c>
      <c r="U59">
        <v>1.00850699153</v>
      </c>
    </row>
    <row r="60" spans="1:21">
      <c r="A60" t="s">
        <v>0</v>
      </c>
      <c r="B60">
        <v>39</v>
      </c>
      <c r="C60" t="s">
        <v>1</v>
      </c>
      <c r="D60" s="2">
        <v>1000</v>
      </c>
      <c r="E60" s="1">
        <v>6.7688200000000004E-2</v>
      </c>
      <c r="F60" s="1">
        <v>10.7744067</v>
      </c>
      <c r="G60" s="1">
        <v>240.965</v>
      </c>
      <c r="H60" s="1">
        <v>108.51900000000001</v>
      </c>
      <c r="I60" s="1">
        <v>307.79399999999998</v>
      </c>
      <c r="J60" s="1">
        <v>0.51533600000000002</v>
      </c>
      <c r="K60" s="1">
        <v>3.5436785</v>
      </c>
      <c r="L60" s="1">
        <v>1107.40867</v>
      </c>
      <c r="M60" s="1">
        <v>225.99199999999999</v>
      </c>
      <c r="N60" s="2">
        <v>1000</v>
      </c>
      <c r="O60" s="2">
        <v>500.05</v>
      </c>
      <c r="P60" s="2">
        <v>1000</v>
      </c>
      <c r="Q60" s="2">
        <v>0.1</v>
      </c>
      <c r="R60" s="2">
        <v>1000</v>
      </c>
      <c r="S60">
        <v>384</v>
      </c>
      <c r="T60">
        <v>2.7511015996400001E-3</v>
      </c>
      <c r="U60">
        <v>1.04207477637</v>
      </c>
    </row>
    <row r="61" spans="1:21">
      <c r="A61" t="s">
        <v>0</v>
      </c>
      <c r="B61">
        <v>31</v>
      </c>
      <c r="C61" t="s">
        <v>1</v>
      </c>
      <c r="D61" s="2">
        <v>1000</v>
      </c>
      <c r="E61" s="1">
        <v>6.7688200000000004E-2</v>
      </c>
      <c r="F61" s="1">
        <v>817616.46600000001</v>
      </c>
      <c r="G61" s="1">
        <v>240.965</v>
      </c>
      <c r="H61" s="1">
        <v>108.51900000000001</v>
      </c>
      <c r="I61" s="1">
        <v>307.79399999999998</v>
      </c>
      <c r="J61" s="1">
        <v>0.51533600000000002</v>
      </c>
      <c r="K61" s="1">
        <v>7.0450308899999998E-3</v>
      </c>
      <c r="L61" s="1">
        <v>0.80092333299999996</v>
      </c>
      <c r="M61" s="1">
        <v>1332.5986700000001</v>
      </c>
      <c r="N61" s="2">
        <v>1000</v>
      </c>
      <c r="O61" s="2">
        <v>500.05</v>
      </c>
      <c r="P61" s="2">
        <v>1000</v>
      </c>
      <c r="Q61" s="2">
        <v>1000</v>
      </c>
      <c r="R61" s="2">
        <v>0.1</v>
      </c>
      <c r="S61">
        <v>384</v>
      </c>
      <c r="T61">
        <v>4.8339623923799998E-3</v>
      </c>
      <c r="U61">
        <v>1.0152486699000001</v>
      </c>
    </row>
    <row r="62" spans="1:21">
      <c r="A62" t="s">
        <v>0</v>
      </c>
      <c r="B62">
        <v>30</v>
      </c>
      <c r="C62" t="s">
        <v>1</v>
      </c>
      <c r="D62" s="2">
        <v>1000</v>
      </c>
      <c r="E62" s="1">
        <v>6.7688200000000004E-2</v>
      </c>
      <c r="F62" s="1">
        <v>1512456.98</v>
      </c>
      <c r="G62" s="1">
        <v>240.965</v>
      </c>
      <c r="H62" s="1">
        <v>108.51900000000001</v>
      </c>
      <c r="I62" s="1">
        <v>307.79399999999998</v>
      </c>
      <c r="J62" s="1">
        <v>0.51533600000000002</v>
      </c>
      <c r="K62" s="1">
        <v>1.09376812</v>
      </c>
      <c r="L62" s="1">
        <v>5.7066074899999996E-3</v>
      </c>
      <c r="M62" s="1">
        <v>0.19429333300000001</v>
      </c>
      <c r="N62" s="2">
        <v>1000</v>
      </c>
      <c r="O62" s="2">
        <v>666.7</v>
      </c>
      <c r="P62" s="2">
        <v>833.35</v>
      </c>
      <c r="Q62" s="2">
        <v>166.75</v>
      </c>
      <c r="R62" s="2">
        <v>333.4</v>
      </c>
      <c r="S62">
        <v>384</v>
      </c>
      <c r="T62">
        <v>0.34665882126699998</v>
      </c>
      <c r="U62">
        <v>2.21388017678</v>
      </c>
    </row>
    <row r="63" spans="1:21">
      <c r="A63" t="s">
        <v>0</v>
      </c>
      <c r="B63">
        <v>61</v>
      </c>
      <c r="C63" t="s">
        <v>1</v>
      </c>
      <c r="D63" s="2">
        <v>1000</v>
      </c>
      <c r="E63" s="1">
        <v>6.7688200000000004E-2</v>
      </c>
      <c r="F63" s="1">
        <v>1513198.23</v>
      </c>
      <c r="G63" s="1">
        <v>240.965</v>
      </c>
      <c r="H63" s="1">
        <v>108.51900000000001</v>
      </c>
      <c r="I63" s="1">
        <v>307.79399999999998</v>
      </c>
      <c r="J63" s="1">
        <v>0.51533600000000002</v>
      </c>
      <c r="K63" s="1">
        <v>6.5325833299999996</v>
      </c>
      <c r="L63" s="1">
        <v>1.04542327E-2</v>
      </c>
      <c r="M63" s="1">
        <v>1333.3866700000001</v>
      </c>
      <c r="N63" s="2">
        <v>1000</v>
      </c>
      <c r="O63" s="2">
        <v>1000</v>
      </c>
      <c r="P63" s="2">
        <v>0.1</v>
      </c>
      <c r="Q63" s="2">
        <v>0.1</v>
      </c>
      <c r="R63" s="2">
        <v>1000</v>
      </c>
      <c r="S63">
        <v>192</v>
      </c>
      <c r="T63">
        <v>3.2083325879099997E-2</v>
      </c>
      <c r="U63">
        <v>0.13618245796799999</v>
      </c>
    </row>
    <row r="64" spans="1:21">
      <c r="A64" t="s">
        <v>0</v>
      </c>
      <c r="B64">
        <v>35</v>
      </c>
      <c r="C64" t="s">
        <v>1</v>
      </c>
      <c r="D64" s="2">
        <v>1000</v>
      </c>
      <c r="E64" s="1">
        <v>6.7688200000000004E-2</v>
      </c>
      <c r="F64" s="1">
        <v>1019228.03</v>
      </c>
      <c r="G64" s="1">
        <v>240.965</v>
      </c>
      <c r="H64" s="1">
        <v>108.51900000000001</v>
      </c>
      <c r="I64" s="1">
        <v>307.79399999999998</v>
      </c>
      <c r="J64" s="1">
        <v>0.51533600000000002</v>
      </c>
      <c r="K64" s="1">
        <v>6.6830596099999999</v>
      </c>
      <c r="L64" s="1">
        <v>0.600948653</v>
      </c>
      <c r="M64" s="1">
        <v>999.49896999999999</v>
      </c>
      <c r="N64" s="2">
        <v>1000</v>
      </c>
      <c r="O64" s="2">
        <v>1000</v>
      </c>
      <c r="P64" s="2">
        <v>1000</v>
      </c>
      <c r="Q64" s="2">
        <v>1000</v>
      </c>
      <c r="R64" s="2">
        <v>1000</v>
      </c>
      <c r="S64">
        <v>256</v>
      </c>
      <c r="T64">
        <v>0.58078569013199999</v>
      </c>
      <c r="U64">
        <v>1.9907977672499999</v>
      </c>
    </row>
    <row r="65" spans="20:21">
      <c r="T65">
        <f>AVERAGE(T2:T64)</f>
        <v>0.1384713388413075</v>
      </c>
      <c r="U65">
        <f>AVERAGE(U2:U64)</f>
        <v>1.0578883651794579</v>
      </c>
    </row>
  </sheetData>
  <sortState ref="A2:U65">
    <sortCondition ref="D2:D65"/>
    <sortCondition ref="N2:N65"/>
    <sortCondition ref="O2:O65"/>
    <sortCondition ref="P2:P65"/>
    <sortCondition ref="Q2:Q65"/>
    <sortCondition ref="R2:R65"/>
  </sortState>
  <phoneticPr fontId="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>
      <selection activeCell="B1" sqref="B1:P1"/>
    </sheetView>
  </sheetViews>
  <sheetFormatPr defaultColWidth="11" defaultRowHeight="12.75"/>
  <cols>
    <col min="2" max="2" width="6.75" bestFit="1" customWidth="1"/>
    <col min="3" max="3" width="6.125" bestFit="1" customWidth="1"/>
    <col min="4" max="4" width="9.375" bestFit="1" customWidth="1"/>
    <col min="5" max="5" width="9.625" bestFit="1" customWidth="1"/>
    <col min="6" max="6" width="9" bestFit="1" customWidth="1"/>
    <col min="7" max="7" width="11.625" bestFit="1" customWidth="1"/>
    <col min="8" max="9" width="9.625" bestFit="1" customWidth="1"/>
    <col min="10" max="16" width="8.375" bestFit="1" customWidth="1"/>
  </cols>
  <sheetData>
    <row r="1" spans="1:16" ht="14.25">
      <c r="B1" t="s">
        <v>15</v>
      </c>
      <c r="C1" t="s">
        <v>16</v>
      </c>
      <c r="D1" t="s">
        <v>2</v>
      </c>
      <c r="E1" t="s">
        <v>3</v>
      </c>
      <c r="F1" t="s">
        <v>18</v>
      </c>
      <c r="G1" t="s">
        <v>19</v>
      </c>
      <c r="H1" t="s">
        <v>4</v>
      </c>
      <c r="I1" t="s">
        <v>5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>
      <c r="A2" t="s">
        <v>15</v>
      </c>
      <c r="B2" s="4">
        <v>1</v>
      </c>
      <c r="C2" s="4">
        <v>1</v>
      </c>
      <c r="D2" s="12">
        <v>0.85500845680108295</v>
      </c>
      <c r="E2" s="4">
        <v>0.999999999999999</v>
      </c>
      <c r="F2" s="4">
        <v>1</v>
      </c>
      <c r="G2" s="4">
        <v>1</v>
      </c>
      <c r="H2" s="4">
        <v>0.999999999999998</v>
      </c>
      <c r="I2" s="13">
        <v>0.30488841953293799</v>
      </c>
      <c r="J2" s="3">
        <v>4.4027133249803098E-2</v>
      </c>
      <c r="K2" s="3">
        <v>5.7944343307506198E-3</v>
      </c>
      <c r="L2" s="3">
        <v>1.3966216775588901E-3</v>
      </c>
      <c r="M2" s="3">
        <v>1.9385649142329701E-2</v>
      </c>
      <c r="N2" s="3">
        <v>4.5956432442849603E-2</v>
      </c>
      <c r="O2" s="3">
        <v>3.9590008471653303E-2</v>
      </c>
      <c r="P2" s="3">
        <v>-2.6152208788477699E-3</v>
      </c>
    </row>
    <row r="3" spans="1:16" ht="14.25">
      <c r="A3" t="s">
        <v>16</v>
      </c>
      <c r="B3" s="10"/>
      <c r="C3" s="4">
        <v>1</v>
      </c>
      <c r="D3" s="12">
        <v>0.85500845680108195</v>
      </c>
      <c r="E3" s="4">
        <v>0.999999999999999</v>
      </c>
      <c r="F3" s="4">
        <v>1</v>
      </c>
      <c r="G3" s="4">
        <v>1</v>
      </c>
      <c r="H3" s="4">
        <v>0.999999999999999</v>
      </c>
      <c r="I3" s="13">
        <v>0.30488841953293799</v>
      </c>
      <c r="J3" s="3">
        <v>4.4027133249803098E-2</v>
      </c>
      <c r="K3" s="3">
        <v>5.7944343307506198E-3</v>
      </c>
      <c r="L3" s="3">
        <v>1.39662167755874E-3</v>
      </c>
      <c r="M3" s="3">
        <v>1.9385649142329601E-2</v>
      </c>
      <c r="N3" s="3">
        <v>4.5956432442849603E-2</v>
      </c>
      <c r="O3" s="3">
        <v>3.95900084716534E-2</v>
      </c>
      <c r="P3" s="3">
        <v>-2.6152208788477898E-3</v>
      </c>
    </row>
    <row r="4" spans="1:16">
      <c r="A4" t="s">
        <v>2</v>
      </c>
      <c r="B4" s="10"/>
      <c r="C4" s="10"/>
      <c r="D4" s="4">
        <v>1</v>
      </c>
      <c r="E4" s="12">
        <v>0.85500845680108295</v>
      </c>
      <c r="F4" s="12">
        <v>0.85500845680108295</v>
      </c>
      <c r="G4" s="12">
        <v>0.85500845680108195</v>
      </c>
      <c r="H4" s="12">
        <v>0.85500845680108195</v>
      </c>
      <c r="I4" s="3">
        <v>8.5308572464347907E-2</v>
      </c>
      <c r="J4" s="13">
        <v>-0.24939954072738299</v>
      </c>
      <c r="K4" s="11">
        <v>0.18142476916132899</v>
      </c>
      <c r="L4" s="3">
        <v>-0.16730930612747699</v>
      </c>
      <c r="M4" s="3">
        <v>9.5797955949481706E-2</v>
      </c>
      <c r="N4" s="3">
        <v>-0.14917062033996401</v>
      </c>
      <c r="O4" s="3">
        <v>0.18328410024696801</v>
      </c>
      <c r="P4" s="3">
        <v>5.6255537119137299E-2</v>
      </c>
    </row>
    <row r="5" spans="1:16">
      <c r="A5" t="s">
        <v>3</v>
      </c>
      <c r="B5" s="10"/>
      <c r="C5" s="10"/>
      <c r="D5" s="10"/>
      <c r="E5" s="4">
        <v>1</v>
      </c>
      <c r="F5" s="4">
        <v>0.999999999999999</v>
      </c>
      <c r="G5" s="4">
        <v>0.999999999999999</v>
      </c>
      <c r="H5" s="4">
        <v>0.999999999999999</v>
      </c>
      <c r="I5" s="13">
        <v>0.30488841953293799</v>
      </c>
      <c r="J5" s="3">
        <v>4.4027133249803098E-2</v>
      </c>
      <c r="K5" s="3">
        <v>5.7944343307506198E-3</v>
      </c>
      <c r="L5" s="3">
        <v>1.3966216775588901E-3</v>
      </c>
      <c r="M5" s="3">
        <v>1.9385649142329701E-2</v>
      </c>
      <c r="N5" s="3">
        <v>4.5956432442849603E-2</v>
      </c>
      <c r="O5" s="3">
        <v>3.9590008471653303E-2</v>
      </c>
      <c r="P5" s="3">
        <v>-2.6152208788477699E-3</v>
      </c>
    </row>
    <row r="6" spans="1:16">
      <c r="A6" t="s">
        <v>18</v>
      </c>
      <c r="B6" s="10"/>
      <c r="C6" s="10"/>
      <c r="D6" s="10"/>
      <c r="E6" s="10"/>
      <c r="F6" s="4">
        <v>1</v>
      </c>
      <c r="G6" s="4">
        <v>1</v>
      </c>
      <c r="H6" s="4">
        <v>0.999999999999999</v>
      </c>
      <c r="I6" s="13">
        <v>0.30488841953293799</v>
      </c>
      <c r="J6" s="3">
        <v>4.4027133249803001E-2</v>
      </c>
      <c r="K6" s="3">
        <v>5.7944343307506398E-3</v>
      </c>
      <c r="L6" s="3">
        <v>1.39662167755894E-3</v>
      </c>
      <c r="M6" s="3">
        <v>1.9385649142329701E-2</v>
      </c>
      <c r="N6" s="3">
        <v>4.5956432442849499E-2</v>
      </c>
      <c r="O6" s="3">
        <v>3.9590008471653303E-2</v>
      </c>
      <c r="P6" s="3">
        <v>-2.6152208788478102E-3</v>
      </c>
    </row>
    <row r="7" spans="1:16">
      <c r="A7" t="s">
        <v>19</v>
      </c>
      <c r="B7" s="10"/>
      <c r="C7" s="10"/>
      <c r="D7" s="10"/>
      <c r="E7" s="10"/>
      <c r="F7" s="10"/>
      <c r="G7" s="4">
        <v>1</v>
      </c>
      <c r="H7" s="4">
        <v>0.999999999999999</v>
      </c>
      <c r="I7" s="13">
        <v>0.30488841953293799</v>
      </c>
      <c r="J7" s="3">
        <v>4.4027133249803001E-2</v>
      </c>
      <c r="K7" s="3">
        <v>5.7944343307506198E-3</v>
      </c>
      <c r="L7" s="3">
        <v>1.3966216775586999E-3</v>
      </c>
      <c r="M7" s="3">
        <v>1.9385649142329701E-2</v>
      </c>
      <c r="N7" s="3">
        <v>4.5956432442849603E-2</v>
      </c>
      <c r="O7" s="3">
        <v>3.9590008471653303E-2</v>
      </c>
      <c r="P7" s="3">
        <v>-2.6152208788477499E-3</v>
      </c>
    </row>
    <row r="8" spans="1:16">
      <c r="A8" t="s">
        <v>4</v>
      </c>
      <c r="B8" s="10"/>
      <c r="C8" s="10"/>
      <c r="D8" s="10"/>
      <c r="E8" s="10"/>
      <c r="F8" s="10"/>
      <c r="G8" s="10"/>
      <c r="H8" s="4">
        <v>1</v>
      </c>
      <c r="I8" s="13">
        <v>0.30488841953293799</v>
      </c>
      <c r="J8" s="3">
        <v>4.4027133249803098E-2</v>
      </c>
      <c r="K8" s="3">
        <v>5.7944343307506198E-3</v>
      </c>
      <c r="L8" s="3">
        <v>1.39662167755883E-3</v>
      </c>
      <c r="M8" s="3">
        <v>1.9385649142329601E-2</v>
      </c>
      <c r="N8" s="3">
        <v>4.5956432442849499E-2</v>
      </c>
      <c r="O8" s="3">
        <v>3.95900084716534E-2</v>
      </c>
      <c r="P8" s="3">
        <v>-2.6152208788478102E-3</v>
      </c>
    </row>
    <row r="9" spans="1:16">
      <c r="A9" t="s">
        <v>5</v>
      </c>
      <c r="B9" s="11"/>
      <c r="C9" s="11"/>
      <c r="D9" s="11"/>
      <c r="E9" s="3"/>
      <c r="F9" s="3"/>
      <c r="G9" s="3"/>
      <c r="H9" s="3"/>
      <c r="I9" s="5">
        <v>1</v>
      </c>
      <c r="J9" s="13">
        <v>0.38977215324752201</v>
      </c>
      <c r="K9" s="13">
        <v>-0.272702770278412</v>
      </c>
      <c r="L9" s="13">
        <v>-0.26990105803924203</v>
      </c>
      <c r="M9" s="3">
        <v>1.5190048375214401E-2</v>
      </c>
      <c r="N9" s="3">
        <v>0.198993205166869</v>
      </c>
      <c r="O9" s="3">
        <v>-0.1559876024447</v>
      </c>
      <c r="P9" s="3">
        <v>-1.6771366770071499E-2</v>
      </c>
    </row>
    <row r="10" spans="1:16">
      <c r="A10" t="s">
        <v>20</v>
      </c>
      <c r="B10" s="3"/>
      <c r="C10" s="11"/>
      <c r="D10" s="11"/>
      <c r="E10" s="3"/>
      <c r="F10" s="3"/>
      <c r="G10" s="3"/>
      <c r="H10" s="3"/>
      <c r="I10" s="3"/>
      <c r="J10" s="5">
        <v>1</v>
      </c>
      <c r="K10" s="13">
        <v>-0.347597917339453</v>
      </c>
      <c r="L10" s="3">
        <v>4.8779142498811701E-3</v>
      </c>
      <c r="M10" s="3">
        <v>9.0528371510820507E-3</v>
      </c>
      <c r="N10" s="13">
        <v>0.438817650190092</v>
      </c>
      <c r="O10" s="13">
        <v>-0.36648439695255802</v>
      </c>
      <c r="P10" s="3">
        <v>7.5256499724207601E-2</v>
      </c>
    </row>
    <row r="11" spans="1:16">
      <c r="A11" t="s">
        <v>21</v>
      </c>
      <c r="B11" s="3"/>
      <c r="C11" s="11"/>
      <c r="D11" s="3"/>
      <c r="E11" s="3"/>
      <c r="F11" s="3"/>
      <c r="G11" s="3"/>
      <c r="H11" s="3"/>
      <c r="I11" s="3"/>
      <c r="J11" s="3"/>
      <c r="K11" s="5">
        <v>1</v>
      </c>
      <c r="L11" s="3">
        <v>7.91921007756059E-2</v>
      </c>
      <c r="M11" s="3">
        <v>0.119078192970451</v>
      </c>
      <c r="N11" s="13">
        <v>-0.39285845886724102</v>
      </c>
      <c r="O11" s="3">
        <v>0.167602737552312</v>
      </c>
      <c r="P11" s="3">
        <v>-1.26960017221944E-2</v>
      </c>
    </row>
    <row r="12" spans="1:16">
      <c r="A12" t="s">
        <v>22</v>
      </c>
      <c r="B12" s="3"/>
      <c r="C12" s="11"/>
      <c r="D12" s="3"/>
      <c r="E12" s="3"/>
      <c r="F12" s="3"/>
      <c r="G12" s="3"/>
      <c r="H12" s="3"/>
      <c r="I12" s="3"/>
      <c r="J12" s="3"/>
      <c r="K12" s="3"/>
      <c r="L12" s="5">
        <v>1</v>
      </c>
      <c r="M12" s="3">
        <v>5.1581548285104299E-2</v>
      </c>
      <c r="N12" s="3">
        <v>-7.5738287351630199E-2</v>
      </c>
      <c r="O12" s="3">
        <v>-9.3128244510910493E-2</v>
      </c>
      <c r="P12" s="3">
        <v>-1.46077738156853E-2</v>
      </c>
    </row>
    <row r="13" spans="1:16">
      <c r="A13" t="s">
        <v>23</v>
      </c>
      <c r="B13" s="3"/>
      <c r="C13" s="11"/>
      <c r="D13" s="3"/>
      <c r="E13" s="3"/>
      <c r="F13" s="3"/>
      <c r="G13" s="3"/>
      <c r="H13" s="3"/>
      <c r="I13" s="3"/>
      <c r="J13" s="3"/>
      <c r="K13" s="3"/>
      <c r="L13" s="3"/>
      <c r="M13" s="5">
        <v>1</v>
      </c>
      <c r="N13" s="3">
        <v>-7.6681862638266499E-2</v>
      </c>
      <c r="O13" s="3">
        <v>-1.9474883339263799E-2</v>
      </c>
      <c r="P13" s="3">
        <v>4.5742070801261204E-3</v>
      </c>
    </row>
    <row r="14" spans="1:16">
      <c r="A14" t="s">
        <v>24</v>
      </c>
      <c r="B14" s="3"/>
      <c r="C14" s="11"/>
      <c r="D14" s="3"/>
      <c r="E14" s="3"/>
      <c r="F14" s="3"/>
      <c r="G14" s="3"/>
      <c r="H14" s="3"/>
      <c r="I14" s="3"/>
      <c r="J14" s="3"/>
      <c r="K14" s="3"/>
      <c r="L14" s="3"/>
      <c r="M14" s="3"/>
      <c r="N14" s="5">
        <v>1</v>
      </c>
      <c r="O14" s="3">
        <v>0.17227099115706401</v>
      </c>
      <c r="P14" s="3">
        <v>2.7889371084599501E-2</v>
      </c>
    </row>
    <row r="15" spans="1:16">
      <c r="A15" t="s">
        <v>25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5">
        <v>1</v>
      </c>
      <c r="P15" s="3">
        <v>2.6333255255464001E-2</v>
      </c>
    </row>
    <row r="16" spans="1:16">
      <c r="A16" t="s">
        <v>26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>
        <v>1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>
      <selection activeCell="D1" sqref="D1:R1"/>
    </sheetView>
  </sheetViews>
  <sheetFormatPr defaultColWidth="11" defaultRowHeight="12.75"/>
  <cols>
    <col min="1" max="1" width="20.625" bestFit="1" customWidth="1"/>
    <col min="2" max="2" width="3" bestFit="1" customWidth="1"/>
    <col min="3" max="3" width="13.25" bestFit="1" customWidth="1"/>
    <col min="4" max="4" width="8.625" bestFit="1" customWidth="1"/>
    <col min="5" max="5" width="8.375" bestFit="1" customWidth="1"/>
    <col min="6" max="7" width="10.5" bestFit="1" customWidth="1"/>
    <col min="8" max="8" width="10" bestFit="1" customWidth="1"/>
    <col min="9" max="9" width="13.125" bestFit="1" customWidth="1"/>
    <col min="10" max="11" width="10.5" bestFit="1" customWidth="1"/>
    <col min="12" max="18" width="8.625" bestFit="1" customWidth="1"/>
    <col min="19" max="19" width="7.125" bestFit="1" customWidth="1"/>
    <col min="20" max="20" width="12.375" bestFit="1" customWidth="1"/>
    <col min="21" max="22" width="12" bestFit="1" customWidth="1"/>
  </cols>
  <sheetData>
    <row r="1" spans="1:21" ht="14.25">
      <c r="D1" t="s">
        <v>15</v>
      </c>
      <c r="E1" t="s">
        <v>16</v>
      </c>
      <c r="F1" t="s">
        <v>2</v>
      </c>
      <c r="G1" t="s">
        <v>17</v>
      </c>
      <c r="H1" t="s">
        <v>18</v>
      </c>
      <c r="I1" t="s">
        <v>19</v>
      </c>
      <c r="J1" t="s">
        <v>4</v>
      </c>
      <c r="K1" t="s">
        <v>5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6</v>
      </c>
      <c r="T1" t="s">
        <v>7</v>
      </c>
      <c r="U1" t="s">
        <v>8</v>
      </c>
    </row>
    <row r="2" spans="1:21">
      <c r="A2" t="s">
        <v>0</v>
      </c>
      <c r="B2">
        <v>14</v>
      </c>
      <c r="C2" t="s">
        <v>1</v>
      </c>
      <c r="D2" s="1">
        <v>0.1</v>
      </c>
      <c r="E2" s="1">
        <v>6.76882E-6</v>
      </c>
      <c r="F2" s="1">
        <v>5980.4293900000002</v>
      </c>
      <c r="G2" s="1">
        <v>2.6654199999999999E-2</v>
      </c>
      <c r="H2" s="1">
        <v>9.7843400000000007E-3</v>
      </c>
      <c r="I2" s="1">
        <v>2.7308800000000001E-2</v>
      </c>
      <c r="J2" s="1">
        <v>5.3701900000000002E-5</v>
      </c>
      <c r="K2" s="1">
        <v>6.2135100000000003</v>
      </c>
      <c r="L2" s="1">
        <v>0.32584570899999998</v>
      </c>
      <c r="M2" s="1">
        <v>484.67424599999998</v>
      </c>
      <c r="N2" s="1">
        <v>0.1</v>
      </c>
      <c r="O2" s="1">
        <v>0.1</v>
      </c>
      <c r="P2" s="1">
        <v>0.1</v>
      </c>
      <c r="Q2" s="1">
        <v>0.1</v>
      </c>
      <c r="R2" s="1">
        <v>1000</v>
      </c>
      <c r="S2">
        <v>66</v>
      </c>
      <c r="T2">
        <v>0.27185043949999999</v>
      </c>
      <c r="U2">
        <v>1.7206976458000001</v>
      </c>
    </row>
    <row r="3" spans="1:21">
      <c r="A3" t="s">
        <v>0</v>
      </c>
      <c r="B3">
        <v>3</v>
      </c>
      <c r="C3" t="s">
        <v>1</v>
      </c>
      <c r="D3" s="1">
        <v>0.1</v>
      </c>
      <c r="E3" s="1">
        <v>6.76882E-6</v>
      </c>
      <c r="F3" s="1">
        <v>4506.0671599999996</v>
      </c>
      <c r="G3" s="1">
        <v>2.6654199999999999E-2</v>
      </c>
      <c r="H3" s="1">
        <v>9.7843400000000007E-3</v>
      </c>
      <c r="I3" s="1">
        <v>2.7308800000000001E-2</v>
      </c>
      <c r="J3" s="1">
        <v>5.3701900000000002E-5</v>
      </c>
      <c r="K3" s="1">
        <v>1.4473771599999999E-3</v>
      </c>
      <c r="L3" s="1">
        <v>5.4010484200000001E-7</v>
      </c>
      <c r="M3" s="1">
        <v>0.199999494</v>
      </c>
      <c r="N3" s="1">
        <v>0.1</v>
      </c>
      <c r="O3" s="1">
        <v>0.1</v>
      </c>
      <c r="P3" s="1">
        <v>0.1</v>
      </c>
      <c r="Q3" s="1">
        <v>493.87777799999998</v>
      </c>
      <c r="R3" s="1">
        <v>0.1</v>
      </c>
      <c r="S3">
        <v>81</v>
      </c>
      <c r="T3">
        <v>1.3862033026800001E-2</v>
      </c>
      <c r="U3">
        <v>1.0932295860600001</v>
      </c>
    </row>
    <row r="4" spans="1:21">
      <c r="A4" t="s">
        <v>0</v>
      </c>
      <c r="B4">
        <v>19</v>
      </c>
      <c r="C4" t="s">
        <v>1</v>
      </c>
      <c r="D4" s="1">
        <v>0.1</v>
      </c>
      <c r="E4" s="1">
        <v>6.76882E-6</v>
      </c>
      <c r="F4" s="1">
        <v>5422.4156000000003</v>
      </c>
      <c r="G4" s="1">
        <v>2.6654199999999999E-2</v>
      </c>
      <c r="H4" s="1">
        <v>9.7843400000000007E-3</v>
      </c>
      <c r="I4" s="1">
        <v>2.7308800000000001E-2</v>
      </c>
      <c r="J4" s="1">
        <v>5.3701900000000002E-5</v>
      </c>
      <c r="K4" s="1">
        <v>6.2166170000000005E-4</v>
      </c>
      <c r="L4" s="1">
        <v>8.2717066700000003E-5</v>
      </c>
      <c r="M4" s="1">
        <v>1333.4</v>
      </c>
      <c r="N4" s="1">
        <v>0.1</v>
      </c>
      <c r="O4" s="1">
        <v>0.1</v>
      </c>
      <c r="P4" s="1">
        <v>0.1</v>
      </c>
      <c r="Q4" s="1">
        <v>1000</v>
      </c>
      <c r="R4" s="1">
        <v>0.1</v>
      </c>
      <c r="S4">
        <v>150</v>
      </c>
      <c r="T4">
        <v>3.7455684332799999E-2</v>
      </c>
      <c r="U4">
        <v>0.21308795856900001</v>
      </c>
    </row>
    <row r="5" spans="1:21">
      <c r="A5" t="s">
        <v>0</v>
      </c>
      <c r="B5">
        <v>40</v>
      </c>
      <c r="C5" t="s">
        <v>1</v>
      </c>
      <c r="D5" s="1">
        <v>0.1</v>
      </c>
      <c r="E5" s="1">
        <v>6.76882E-6</v>
      </c>
      <c r="F5" s="1">
        <v>6613.77</v>
      </c>
      <c r="G5" s="1">
        <v>2.6654199999999999E-2</v>
      </c>
      <c r="H5" s="1">
        <v>9.7843400000000007E-3</v>
      </c>
      <c r="I5" s="1">
        <v>2.7308800000000001E-2</v>
      </c>
      <c r="J5" s="1">
        <v>5.3701900000000002E-5</v>
      </c>
      <c r="K5" s="1">
        <v>6.1617610000000003</v>
      </c>
      <c r="L5" s="1">
        <v>3.1031774999999999E-6</v>
      </c>
      <c r="M5" s="1">
        <v>0.19999685</v>
      </c>
      <c r="N5" s="1">
        <v>0.1</v>
      </c>
      <c r="O5" s="1">
        <v>0.1</v>
      </c>
      <c r="P5" s="1">
        <v>0.1</v>
      </c>
      <c r="Q5" s="1">
        <v>1000</v>
      </c>
      <c r="R5" s="1">
        <v>1000</v>
      </c>
      <c r="S5">
        <v>20</v>
      </c>
      <c r="T5">
        <v>1.67913601421E-2</v>
      </c>
      <c r="U5">
        <v>5.1164411855899997E-2</v>
      </c>
    </row>
    <row r="6" spans="1:21">
      <c r="A6" t="s">
        <v>0</v>
      </c>
      <c r="B6">
        <v>0</v>
      </c>
      <c r="C6" t="s">
        <v>1</v>
      </c>
      <c r="D6" s="1">
        <v>0.1</v>
      </c>
      <c r="E6" s="1">
        <v>6.76882E-6</v>
      </c>
      <c r="F6" s="1">
        <v>2.1416324999999998E-3</v>
      </c>
      <c r="G6" s="1">
        <v>2.6654199999999999E-2</v>
      </c>
      <c r="H6" s="1">
        <v>9.7843400000000007E-3</v>
      </c>
      <c r="I6" s="1">
        <v>2.7308800000000001E-2</v>
      </c>
      <c r="J6" s="1">
        <v>5.3701900000000002E-5</v>
      </c>
      <c r="K6" s="1">
        <v>6.3271400000000002E-3</v>
      </c>
      <c r="L6" s="1">
        <v>860.22006999999996</v>
      </c>
      <c r="M6" s="1">
        <v>139.87868</v>
      </c>
      <c r="N6" s="1">
        <v>0.1</v>
      </c>
      <c r="O6" s="1">
        <v>0.1</v>
      </c>
      <c r="P6" s="1">
        <v>1000</v>
      </c>
      <c r="Q6" s="1">
        <v>0.1</v>
      </c>
      <c r="R6" s="1">
        <v>0.1</v>
      </c>
      <c r="S6">
        <v>152</v>
      </c>
      <c r="T6">
        <v>0.57222889149599998</v>
      </c>
      <c r="U6">
        <v>1.9600566181600001</v>
      </c>
    </row>
    <row r="7" spans="1:21">
      <c r="A7" t="s">
        <v>0</v>
      </c>
      <c r="B7">
        <v>36</v>
      </c>
      <c r="C7" t="s">
        <v>1</v>
      </c>
      <c r="D7" s="1">
        <v>0.1</v>
      </c>
      <c r="E7" s="1">
        <v>6.76882E-6</v>
      </c>
      <c r="F7" s="1">
        <v>1.17256</v>
      </c>
      <c r="G7" s="1">
        <v>2.6654199999999999E-2</v>
      </c>
      <c r="H7" s="1">
        <v>9.7843400000000007E-3</v>
      </c>
      <c r="I7" s="1">
        <v>2.7308800000000001E-2</v>
      </c>
      <c r="J7" s="1">
        <v>5.3701900000000002E-5</v>
      </c>
      <c r="K7" s="1">
        <v>6.9215801800000003</v>
      </c>
      <c r="L7" s="1">
        <v>860.22006999999996</v>
      </c>
      <c r="M7" s="1">
        <v>139.87868</v>
      </c>
      <c r="N7" s="1">
        <v>0.1</v>
      </c>
      <c r="O7" s="1">
        <v>0.1</v>
      </c>
      <c r="P7" s="1">
        <v>1000</v>
      </c>
      <c r="Q7" s="1">
        <v>0.1</v>
      </c>
      <c r="R7" s="1">
        <v>1000</v>
      </c>
      <c r="S7">
        <v>112</v>
      </c>
      <c r="T7">
        <v>0.57226660028200005</v>
      </c>
      <c r="U7">
        <v>1.96016927011</v>
      </c>
    </row>
    <row r="8" spans="1:21">
      <c r="A8" t="s">
        <v>0</v>
      </c>
      <c r="B8">
        <v>21</v>
      </c>
      <c r="C8" t="s">
        <v>1</v>
      </c>
      <c r="D8" s="1">
        <v>0.1</v>
      </c>
      <c r="E8" s="1">
        <v>6.76882E-6</v>
      </c>
      <c r="F8" s="1">
        <v>11.6315521</v>
      </c>
      <c r="G8" s="1">
        <v>2.6654199999999999E-2</v>
      </c>
      <c r="H8" s="1">
        <v>9.7843400000000007E-3</v>
      </c>
      <c r="I8" s="1">
        <v>2.7308800000000001E-2</v>
      </c>
      <c r="J8" s="1">
        <v>5.3701900000000002E-5</v>
      </c>
      <c r="K8" s="1">
        <v>6.3317395799999997E-3</v>
      </c>
      <c r="L8" s="1">
        <v>0.81953266700000005</v>
      </c>
      <c r="M8" s="1">
        <v>1332.58</v>
      </c>
      <c r="N8" s="1">
        <v>0.1</v>
      </c>
      <c r="O8" s="1">
        <v>0.1</v>
      </c>
      <c r="P8" s="1">
        <v>1000</v>
      </c>
      <c r="Q8" s="1">
        <v>1000</v>
      </c>
      <c r="R8" s="1">
        <v>0.1</v>
      </c>
      <c r="S8">
        <v>48</v>
      </c>
      <c r="T8">
        <v>3.2891136908800002E-2</v>
      </c>
      <c r="U8">
        <v>0.139548075105</v>
      </c>
    </row>
    <row r="9" spans="1:21">
      <c r="A9" t="s">
        <v>0</v>
      </c>
      <c r="B9">
        <v>15</v>
      </c>
      <c r="C9" t="s">
        <v>1</v>
      </c>
      <c r="D9" s="1">
        <v>0.1</v>
      </c>
      <c r="E9" s="1">
        <v>6.76882E-6</v>
      </c>
      <c r="F9" s="1">
        <v>6668.6944999999996</v>
      </c>
      <c r="G9" s="1">
        <v>2.6654199999999999E-2</v>
      </c>
      <c r="H9" s="1">
        <v>9.7843400000000007E-3</v>
      </c>
      <c r="I9" s="1">
        <v>2.7308800000000001E-2</v>
      </c>
      <c r="J9" s="1">
        <v>5.3701900000000002E-5</v>
      </c>
      <c r="K9" s="1">
        <v>6.1787677499999996</v>
      </c>
      <c r="L9" s="1">
        <v>0.184494929</v>
      </c>
      <c r="M9" s="1">
        <v>299.98540300000002</v>
      </c>
      <c r="N9" s="1">
        <v>0.1</v>
      </c>
      <c r="O9" s="1">
        <v>0.1</v>
      </c>
      <c r="P9" s="1">
        <v>1000</v>
      </c>
      <c r="Q9" s="1">
        <v>1000</v>
      </c>
      <c r="R9" s="1">
        <v>1000</v>
      </c>
      <c r="S9">
        <v>40</v>
      </c>
      <c r="T9">
        <v>0.60815085782</v>
      </c>
      <c r="U9">
        <v>2.1877505589999999</v>
      </c>
    </row>
    <row r="10" spans="1:21">
      <c r="A10" t="s">
        <v>0</v>
      </c>
      <c r="B10">
        <v>8</v>
      </c>
      <c r="C10" t="s">
        <v>1</v>
      </c>
      <c r="D10" s="1">
        <v>0.1</v>
      </c>
      <c r="E10" s="1">
        <v>6.76882E-6</v>
      </c>
      <c r="F10" s="1">
        <v>1307.78952</v>
      </c>
      <c r="G10" s="1">
        <v>2.6654199999999999E-2</v>
      </c>
      <c r="H10" s="1">
        <v>9.7843400000000007E-3</v>
      </c>
      <c r="I10" s="1">
        <v>2.7308800000000001E-2</v>
      </c>
      <c r="J10" s="1">
        <v>5.3701900000000002E-5</v>
      </c>
      <c r="K10" s="1">
        <v>0.86140412200000005</v>
      </c>
      <c r="L10" s="1">
        <v>0.94920492899999998</v>
      </c>
      <c r="M10" s="1">
        <v>1570.5225700000001</v>
      </c>
      <c r="N10" s="1">
        <v>0.1</v>
      </c>
      <c r="O10" s="1">
        <v>142.942857</v>
      </c>
      <c r="P10" s="1">
        <v>0.1</v>
      </c>
      <c r="Q10" s="1">
        <v>0.1</v>
      </c>
      <c r="R10" s="1">
        <v>0.1</v>
      </c>
      <c r="S10">
        <v>28</v>
      </c>
      <c r="T10">
        <v>0.67192474091700005</v>
      </c>
      <c r="U10">
        <v>2.3233844808600002</v>
      </c>
    </row>
    <row r="11" spans="1:21">
      <c r="A11" t="s">
        <v>0</v>
      </c>
      <c r="B11">
        <v>28</v>
      </c>
      <c r="C11" t="s">
        <v>1</v>
      </c>
      <c r="D11" s="1">
        <v>0.1</v>
      </c>
      <c r="E11" s="1">
        <v>6.76882E-6</v>
      </c>
      <c r="F11" s="1">
        <v>4906.2817599999998</v>
      </c>
      <c r="G11" s="1">
        <v>2.6654199999999999E-2</v>
      </c>
      <c r="H11" s="1">
        <v>9.7843400000000007E-3</v>
      </c>
      <c r="I11" s="1">
        <v>2.7308800000000001E-2</v>
      </c>
      <c r="J11" s="1">
        <v>5.3701900000000002E-5</v>
      </c>
      <c r="K11" s="1">
        <v>2.2653944199999998</v>
      </c>
      <c r="L11" s="1">
        <v>1.22173204E-4</v>
      </c>
      <c r="M11" s="1">
        <v>0.199877677</v>
      </c>
      <c r="N11" s="1">
        <v>0.1</v>
      </c>
      <c r="O11" s="1">
        <v>354.90322600000002</v>
      </c>
      <c r="P11" s="1">
        <v>1000</v>
      </c>
      <c r="Q11" s="1">
        <v>1000</v>
      </c>
      <c r="R11" s="1">
        <v>0.1</v>
      </c>
      <c r="S11">
        <v>93</v>
      </c>
      <c r="T11">
        <v>0.337721881419</v>
      </c>
      <c r="U11">
        <v>1.5866833682199999</v>
      </c>
    </row>
    <row r="12" spans="1:21">
      <c r="A12" t="s">
        <v>0</v>
      </c>
      <c r="B12">
        <v>16</v>
      </c>
      <c r="C12" t="s">
        <v>1</v>
      </c>
      <c r="D12" s="1">
        <v>0.1</v>
      </c>
      <c r="E12" s="1">
        <v>6.76882E-6</v>
      </c>
      <c r="F12" s="1">
        <v>5631.4815600000002</v>
      </c>
      <c r="G12" s="1">
        <v>2.6654199999999999E-2</v>
      </c>
      <c r="H12" s="1">
        <v>9.7843400000000007E-3</v>
      </c>
      <c r="I12" s="1">
        <v>2.7308800000000001E-2</v>
      </c>
      <c r="J12" s="1">
        <v>5.3701900000000002E-5</v>
      </c>
      <c r="K12" s="1">
        <v>6.3692371899999998</v>
      </c>
      <c r="L12" s="1">
        <v>0.10677416100000001</v>
      </c>
      <c r="M12" s="1">
        <v>156.327617</v>
      </c>
      <c r="N12" s="1">
        <v>0.1</v>
      </c>
      <c r="O12" s="1">
        <v>1000</v>
      </c>
      <c r="P12" s="1">
        <v>0.1</v>
      </c>
      <c r="Q12" s="1">
        <v>234.451562</v>
      </c>
      <c r="R12" s="1">
        <v>0.1</v>
      </c>
      <c r="S12">
        <v>64</v>
      </c>
      <c r="T12">
        <v>0.67176068130400002</v>
      </c>
      <c r="U12">
        <v>2.2521709678000001</v>
      </c>
    </row>
    <row r="13" spans="1:21">
      <c r="A13" t="s">
        <v>0</v>
      </c>
      <c r="B13">
        <v>25</v>
      </c>
      <c r="C13" t="s">
        <v>1</v>
      </c>
      <c r="D13" s="1">
        <v>0.1</v>
      </c>
      <c r="E13" s="1">
        <v>6.76882E-6</v>
      </c>
      <c r="F13" s="1">
        <v>1.0944833300000001</v>
      </c>
      <c r="G13" s="1">
        <v>2.6654199999999999E-2</v>
      </c>
      <c r="H13" s="1">
        <v>9.7843400000000007E-3</v>
      </c>
      <c r="I13" s="1">
        <v>2.7308800000000001E-2</v>
      </c>
      <c r="J13" s="1">
        <v>5.3701900000000002E-5</v>
      </c>
      <c r="K13" s="1">
        <v>6.7240900000000003</v>
      </c>
      <c r="L13" s="1">
        <v>1146.904</v>
      </c>
      <c r="M13" s="1">
        <v>186.49433300000001</v>
      </c>
      <c r="N13" s="1">
        <v>0.1</v>
      </c>
      <c r="O13" s="1">
        <v>1000</v>
      </c>
      <c r="P13" s="1">
        <v>1000</v>
      </c>
      <c r="Q13" s="1">
        <v>0.1</v>
      </c>
      <c r="R13" s="1">
        <v>0.1</v>
      </c>
      <c r="S13">
        <v>108</v>
      </c>
      <c r="T13">
        <v>3.2890620172300003E-2</v>
      </c>
      <c r="U13">
        <v>0.139543083367</v>
      </c>
    </row>
    <row r="14" spans="1:21">
      <c r="A14" t="s">
        <v>0</v>
      </c>
      <c r="B14">
        <v>33</v>
      </c>
      <c r="C14" t="s">
        <v>1</v>
      </c>
      <c r="D14" s="1">
        <v>0.1</v>
      </c>
      <c r="E14" s="1">
        <v>6.76882E-6</v>
      </c>
      <c r="F14" s="1">
        <v>1.2730699999999999</v>
      </c>
      <c r="G14" s="1">
        <v>2.6654199999999999E-2</v>
      </c>
      <c r="H14" s="1">
        <v>9.7843400000000007E-3</v>
      </c>
      <c r="I14" s="1">
        <v>2.7308800000000001E-2</v>
      </c>
      <c r="J14" s="1">
        <v>5.3701900000000002E-5</v>
      </c>
      <c r="K14" s="1">
        <v>6.7240900000000003</v>
      </c>
      <c r="L14" s="1">
        <v>0.16827800000000001</v>
      </c>
      <c r="M14" s="1">
        <v>3.1721800000000001E-2</v>
      </c>
      <c r="N14" s="1">
        <v>0.1</v>
      </c>
      <c r="O14" s="1">
        <v>1000</v>
      </c>
      <c r="P14" s="1">
        <v>1000</v>
      </c>
      <c r="Q14" s="1">
        <v>0.1</v>
      </c>
      <c r="R14" s="1">
        <v>0.1</v>
      </c>
      <c r="S14">
        <v>36</v>
      </c>
      <c r="T14" s="1">
        <v>7.8886090522099998E-31</v>
      </c>
      <c r="U14" s="1">
        <v>2.62169006283E-15</v>
      </c>
    </row>
    <row r="15" spans="1:21">
      <c r="A15" t="s">
        <v>0</v>
      </c>
      <c r="B15">
        <v>26</v>
      </c>
      <c r="C15" t="s">
        <v>1</v>
      </c>
      <c r="D15" s="1">
        <v>0.1</v>
      </c>
      <c r="E15" s="1">
        <v>6.76882E-6</v>
      </c>
      <c r="F15" s="1">
        <v>1.40437111</v>
      </c>
      <c r="G15" s="1">
        <v>2.6654199999999999E-2</v>
      </c>
      <c r="H15" s="1">
        <v>9.7843400000000007E-3</v>
      </c>
      <c r="I15" s="1">
        <v>2.7308800000000001E-2</v>
      </c>
      <c r="J15" s="1">
        <v>5.3701900000000002E-5</v>
      </c>
      <c r="K15" s="1">
        <v>1.15037E-6</v>
      </c>
      <c r="L15" s="1">
        <v>0.58373799999999998</v>
      </c>
      <c r="M15" s="1">
        <v>999.51599999999996</v>
      </c>
      <c r="N15" s="1">
        <v>1000</v>
      </c>
      <c r="O15" s="1">
        <v>0.1</v>
      </c>
      <c r="P15" s="1">
        <v>0.1</v>
      </c>
      <c r="Q15" s="1">
        <v>0.1</v>
      </c>
      <c r="R15" s="1">
        <v>0.1</v>
      </c>
      <c r="S15">
        <v>72</v>
      </c>
      <c r="T15" s="1">
        <v>3.2493574941500002E-7</v>
      </c>
      <c r="U15" s="1">
        <v>1.1816448267599999E-6</v>
      </c>
    </row>
    <row r="16" spans="1:21">
      <c r="A16" t="s">
        <v>0</v>
      </c>
      <c r="B16">
        <v>39</v>
      </c>
      <c r="C16" t="s">
        <v>1</v>
      </c>
      <c r="D16" s="1">
        <v>0.1</v>
      </c>
      <c r="E16" s="1">
        <v>6.76882E-6</v>
      </c>
      <c r="F16" s="1">
        <v>1.3761285700000001</v>
      </c>
      <c r="G16" s="1">
        <v>2.6654199999999999E-2</v>
      </c>
      <c r="H16" s="1">
        <v>9.7843400000000007E-3</v>
      </c>
      <c r="I16" s="1">
        <v>2.7308800000000001E-2</v>
      </c>
      <c r="J16" s="1">
        <v>5.3701900000000002E-5</v>
      </c>
      <c r="K16" s="1">
        <v>1.1503819E-6</v>
      </c>
      <c r="L16" s="1">
        <v>1.19184968</v>
      </c>
      <c r="M16" s="1">
        <v>1998.81</v>
      </c>
      <c r="N16" s="1">
        <v>1000</v>
      </c>
      <c r="O16" s="1">
        <v>0.1</v>
      </c>
      <c r="P16" s="1">
        <v>0.1</v>
      </c>
      <c r="Q16" s="1">
        <v>0.1</v>
      </c>
      <c r="R16" s="1">
        <v>0.1</v>
      </c>
      <c r="S16">
        <v>63</v>
      </c>
      <c r="T16" s="1">
        <v>1.5421702515600001E-5</v>
      </c>
      <c r="U16">
        <v>1.1910299381899999E-4</v>
      </c>
    </row>
    <row r="17" spans="1:21">
      <c r="A17" t="s">
        <v>0</v>
      </c>
      <c r="B17">
        <v>17</v>
      </c>
      <c r="C17" t="s">
        <v>1</v>
      </c>
      <c r="D17" s="1">
        <v>0.1</v>
      </c>
      <c r="E17" s="1">
        <v>6.76882E-6</v>
      </c>
      <c r="F17" s="1">
        <v>2.5290922199999999</v>
      </c>
      <c r="G17" s="1">
        <v>2.6654199999999999E-2</v>
      </c>
      <c r="H17" s="1">
        <v>9.7843400000000007E-3</v>
      </c>
      <c r="I17" s="1">
        <v>2.7308800000000001E-2</v>
      </c>
      <c r="J17" s="1">
        <v>5.3701900000000002E-5</v>
      </c>
      <c r="K17" s="1">
        <v>6.5778899999999999E-4</v>
      </c>
      <c r="L17" s="1">
        <v>0.58373799999999998</v>
      </c>
      <c r="M17" s="1">
        <v>999.51599999999996</v>
      </c>
      <c r="N17" s="1">
        <v>1000</v>
      </c>
      <c r="O17" s="1">
        <v>0.1</v>
      </c>
      <c r="P17" s="1">
        <v>0.1</v>
      </c>
      <c r="Q17" s="1">
        <v>0.1</v>
      </c>
      <c r="R17" s="1">
        <v>1000</v>
      </c>
      <c r="S17">
        <v>72</v>
      </c>
      <c r="T17" s="1">
        <v>3.24320332207E-7</v>
      </c>
      <c r="U17" s="1">
        <v>1.3123026778299999E-6</v>
      </c>
    </row>
    <row r="18" spans="1:21">
      <c r="A18" t="s">
        <v>0</v>
      </c>
      <c r="B18">
        <v>18</v>
      </c>
      <c r="C18" t="s">
        <v>1</v>
      </c>
      <c r="D18" s="1">
        <v>0.1</v>
      </c>
      <c r="E18" s="1">
        <v>6.76882E-6</v>
      </c>
      <c r="F18" s="1">
        <v>2.4794900000000002</v>
      </c>
      <c r="G18" s="1">
        <v>2.6654199999999999E-2</v>
      </c>
      <c r="H18" s="1">
        <v>9.7843400000000007E-3</v>
      </c>
      <c r="I18" s="1">
        <v>2.7308800000000001E-2</v>
      </c>
      <c r="J18" s="1">
        <v>5.3701900000000002E-5</v>
      </c>
      <c r="K18" s="1">
        <v>6.5780400000000001E-4</v>
      </c>
      <c r="L18" s="1">
        <v>1.1918</v>
      </c>
      <c r="M18" s="1">
        <v>1998.81</v>
      </c>
      <c r="N18" s="1">
        <v>1000</v>
      </c>
      <c r="O18" s="1">
        <v>0.1</v>
      </c>
      <c r="P18" s="1">
        <v>0.1</v>
      </c>
      <c r="Q18" s="1">
        <v>0.1</v>
      </c>
      <c r="R18" s="1">
        <v>1000</v>
      </c>
      <c r="S18">
        <v>1</v>
      </c>
      <c r="T18">
        <v>0</v>
      </c>
      <c r="U18">
        <v>0</v>
      </c>
    </row>
    <row r="19" spans="1:21">
      <c r="A19" t="s">
        <v>0</v>
      </c>
      <c r="B19">
        <v>44</v>
      </c>
      <c r="C19" t="s">
        <v>1</v>
      </c>
      <c r="D19" s="1">
        <v>0.1</v>
      </c>
      <c r="E19" s="1">
        <v>6.76882E-6</v>
      </c>
      <c r="F19" s="1">
        <v>2.4775261300000002</v>
      </c>
      <c r="G19" s="1">
        <v>2.6654199999999999E-2</v>
      </c>
      <c r="H19" s="1">
        <v>9.7843400000000007E-3</v>
      </c>
      <c r="I19" s="1">
        <v>2.7308800000000001E-2</v>
      </c>
      <c r="J19" s="1">
        <v>5.3701900000000002E-5</v>
      </c>
      <c r="K19" s="1">
        <v>6.5778911299999997E-4</v>
      </c>
      <c r="L19" s="1">
        <v>1.19184968</v>
      </c>
      <c r="M19" s="1">
        <v>1998.81</v>
      </c>
      <c r="N19" s="1">
        <v>1000</v>
      </c>
      <c r="O19" s="1">
        <v>0.1</v>
      </c>
      <c r="P19" s="1">
        <v>0.1</v>
      </c>
      <c r="Q19" s="1">
        <v>0.1</v>
      </c>
      <c r="R19" s="1">
        <v>1000</v>
      </c>
      <c r="S19">
        <v>62</v>
      </c>
      <c r="T19" s="1">
        <v>5.6877255268699997E-6</v>
      </c>
      <c r="U19" s="1">
        <v>3.7244504896799999E-5</v>
      </c>
    </row>
    <row r="20" spans="1:21">
      <c r="A20" t="s">
        <v>0</v>
      </c>
      <c r="B20">
        <v>27</v>
      </c>
      <c r="C20" t="s">
        <v>1</v>
      </c>
      <c r="D20" s="1">
        <v>0.1</v>
      </c>
      <c r="E20" s="1">
        <v>6.76882E-6</v>
      </c>
      <c r="F20" s="1">
        <v>4068.4920200000001</v>
      </c>
      <c r="G20" s="1">
        <v>2.6654199999999999E-2</v>
      </c>
      <c r="H20" s="1">
        <v>9.7843400000000007E-3</v>
      </c>
      <c r="I20" s="1">
        <v>2.7308800000000001E-2</v>
      </c>
      <c r="J20" s="1">
        <v>5.3701900000000002E-5</v>
      </c>
      <c r="K20" s="1">
        <v>2.23193107E-7</v>
      </c>
      <c r="L20" s="1">
        <v>4.8142112500000004E-7</v>
      </c>
      <c r="M20" s="1">
        <v>0.19999951199999999</v>
      </c>
      <c r="N20" s="1">
        <v>1000</v>
      </c>
      <c r="O20" s="1">
        <v>0.1</v>
      </c>
      <c r="P20" s="1">
        <v>0.1</v>
      </c>
      <c r="Q20" s="1">
        <v>511.95357100000001</v>
      </c>
      <c r="R20" s="1">
        <v>0.1</v>
      </c>
      <c r="S20">
        <v>84</v>
      </c>
      <c r="T20">
        <v>2.5555164810599999E-2</v>
      </c>
      <c r="U20">
        <v>1.1054691425900001</v>
      </c>
    </row>
    <row r="21" spans="1:21">
      <c r="A21" t="s">
        <v>0</v>
      </c>
      <c r="B21">
        <v>10</v>
      </c>
      <c r="C21" t="s">
        <v>1</v>
      </c>
      <c r="D21" s="1">
        <v>0.1</v>
      </c>
      <c r="E21" s="1">
        <v>6.76882E-6</v>
      </c>
      <c r="F21" s="1">
        <v>4118.3550400000004</v>
      </c>
      <c r="G21" s="1">
        <v>2.6654199999999999E-2</v>
      </c>
      <c r="H21" s="1">
        <v>9.7843400000000007E-3</v>
      </c>
      <c r="I21" s="1">
        <v>2.7308800000000001E-2</v>
      </c>
      <c r="J21" s="1">
        <v>5.3701900000000002E-5</v>
      </c>
      <c r="K21" s="1">
        <v>3.7564124800000002E-7</v>
      </c>
      <c r="L21" s="1">
        <v>8.1494696499999998E-5</v>
      </c>
      <c r="M21" s="1">
        <v>1336.3495600000001</v>
      </c>
      <c r="N21" s="1">
        <v>1000</v>
      </c>
      <c r="O21" s="1">
        <v>0.1</v>
      </c>
      <c r="P21" s="1">
        <v>0.1</v>
      </c>
      <c r="Q21" s="1">
        <v>1000</v>
      </c>
      <c r="R21" s="1">
        <v>0.1</v>
      </c>
      <c r="S21">
        <v>113</v>
      </c>
      <c r="T21">
        <v>3.7186918870099998E-2</v>
      </c>
      <c r="U21">
        <v>0.21027593543600001</v>
      </c>
    </row>
    <row r="22" spans="1:21">
      <c r="A22" t="s">
        <v>0</v>
      </c>
      <c r="B22">
        <v>22</v>
      </c>
      <c r="C22" t="s">
        <v>1</v>
      </c>
      <c r="D22" s="1">
        <v>0.1</v>
      </c>
      <c r="E22" s="1">
        <v>6.76882E-6</v>
      </c>
      <c r="F22" s="1">
        <v>4554.4003499999999</v>
      </c>
      <c r="G22" s="1">
        <v>2.6654199999999999E-2</v>
      </c>
      <c r="H22" s="1">
        <v>9.7843400000000007E-3</v>
      </c>
      <c r="I22" s="1">
        <v>2.7308800000000001E-2</v>
      </c>
      <c r="J22" s="1">
        <v>5.3701900000000002E-5</v>
      </c>
      <c r="K22" s="1">
        <v>6.4430296499999996E-4</v>
      </c>
      <c r="L22" s="1">
        <v>8.48492124E-5</v>
      </c>
      <c r="M22" s="1">
        <v>1362.8955800000001</v>
      </c>
      <c r="N22" s="1">
        <v>1000</v>
      </c>
      <c r="O22" s="1">
        <v>0.1</v>
      </c>
      <c r="P22" s="1">
        <v>0.1</v>
      </c>
      <c r="Q22" s="1">
        <v>1000</v>
      </c>
      <c r="R22" s="1">
        <v>1000</v>
      </c>
      <c r="S22">
        <v>113</v>
      </c>
      <c r="T22">
        <v>2.7399607869299999E-2</v>
      </c>
      <c r="U22">
        <v>0.16366966556900001</v>
      </c>
    </row>
    <row r="23" spans="1:21">
      <c r="A23" t="s">
        <v>0</v>
      </c>
      <c r="B23">
        <v>30</v>
      </c>
      <c r="C23" t="s">
        <v>1</v>
      </c>
      <c r="D23" s="1">
        <v>0.1</v>
      </c>
      <c r="E23" s="1">
        <v>6.76882E-6</v>
      </c>
      <c r="F23" s="1">
        <v>9.7333999999999995E-4</v>
      </c>
      <c r="G23" s="1">
        <v>2.6654199999999999E-2</v>
      </c>
      <c r="H23" s="1">
        <v>9.7843400000000007E-3</v>
      </c>
      <c r="I23" s="1">
        <v>2.7308800000000001E-2</v>
      </c>
      <c r="J23" s="1">
        <v>5.3701900000000002E-5</v>
      </c>
      <c r="K23" s="1">
        <v>1.15037E-6</v>
      </c>
      <c r="L23" s="1">
        <v>0.16827800000000001</v>
      </c>
      <c r="M23" s="1">
        <v>3.1721800000000001E-2</v>
      </c>
      <c r="N23" s="1">
        <v>1000</v>
      </c>
      <c r="O23" s="1">
        <v>0.1</v>
      </c>
      <c r="P23" s="1">
        <v>1000</v>
      </c>
      <c r="Q23" s="1">
        <v>0.1</v>
      </c>
      <c r="R23" s="1">
        <v>0.1</v>
      </c>
      <c r="S23">
        <v>64</v>
      </c>
      <c r="T23" s="1">
        <v>5.5220263365500001E-30</v>
      </c>
      <c r="U23" s="1">
        <v>6.5681679907199996E-15</v>
      </c>
    </row>
    <row r="24" spans="1:21">
      <c r="A24" t="s">
        <v>0</v>
      </c>
      <c r="B24">
        <v>41</v>
      </c>
      <c r="C24" t="s">
        <v>1</v>
      </c>
      <c r="D24" s="1">
        <v>0.1</v>
      </c>
      <c r="E24" s="1">
        <v>6.76882E-6</v>
      </c>
      <c r="F24" s="1">
        <v>1.1034833299999999E-3</v>
      </c>
      <c r="G24" s="1">
        <v>2.6654199999999999E-2</v>
      </c>
      <c r="H24" s="1">
        <v>9.7843400000000007E-3</v>
      </c>
      <c r="I24" s="1">
        <v>2.7308800000000001E-2</v>
      </c>
      <c r="J24" s="1">
        <v>5.3701900000000002E-5</v>
      </c>
      <c r="K24" s="1">
        <v>1.15037E-6</v>
      </c>
      <c r="L24" s="1">
        <v>1146.904</v>
      </c>
      <c r="M24" s="1">
        <v>186.49433300000001</v>
      </c>
      <c r="N24" s="1">
        <v>1000</v>
      </c>
      <c r="O24" s="1">
        <v>0.1</v>
      </c>
      <c r="P24" s="1">
        <v>1000</v>
      </c>
      <c r="Q24" s="1">
        <v>0.1</v>
      </c>
      <c r="R24" s="1">
        <v>0.1</v>
      </c>
      <c r="S24">
        <v>192</v>
      </c>
      <c r="T24">
        <v>3.3026376876500001E-2</v>
      </c>
      <c r="U24">
        <v>0.14011905028499999</v>
      </c>
    </row>
    <row r="25" spans="1:21">
      <c r="A25" t="s">
        <v>0</v>
      </c>
      <c r="B25">
        <v>1</v>
      </c>
      <c r="C25" t="s">
        <v>1</v>
      </c>
      <c r="D25" s="1">
        <v>0.1</v>
      </c>
      <c r="E25" s="1">
        <v>6.76882E-6</v>
      </c>
      <c r="F25" s="1">
        <v>1.09757E-3</v>
      </c>
      <c r="G25" s="1">
        <v>2.6654199999999999E-2</v>
      </c>
      <c r="H25" s="1">
        <v>9.7843400000000007E-3</v>
      </c>
      <c r="I25" s="1">
        <v>2.7308800000000001E-2</v>
      </c>
      <c r="J25" s="1">
        <v>5.3701900000000002E-5</v>
      </c>
      <c r="K25" s="1">
        <v>6.5778899999999999E-4</v>
      </c>
      <c r="L25" s="1">
        <v>0.16827800000000001</v>
      </c>
      <c r="M25" s="1">
        <v>3.1721800000000001E-2</v>
      </c>
      <c r="N25" s="1">
        <v>1000</v>
      </c>
      <c r="O25" s="1">
        <v>0.1</v>
      </c>
      <c r="P25" s="1">
        <v>1000</v>
      </c>
      <c r="Q25" s="1">
        <v>0.1</v>
      </c>
      <c r="R25" s="1">
        <v>1000</v>
      </c>
      <c r="S25">
        <v>64</v>
      </c>
      <c r="T25" s="1">
        <v>5.5220263365500001E-30</v>
      </c>
      <c r="U25" s="1">
        <v>5.4649593624800001E-15</v>
      </c>
    </row>
    <row r="26" spans="1:21">
      <c r="A26" t="s">
        <v>0</v>
      </c>
      <c r="B26">
        <v>11</v>
      </c>
      <c r="C26" t="s">
        <v>1</v>
      </c>
      <c r="D26" s="1">
        <v>0.1</v>
      </c>
      <c r="E26" s="1">
        <v>6.76882E-6</v>
      </c>
      <c r="F26" s="1">
        <v>1.2865000000000001E-3</v>
      </c>
      <c r="G26" s="1">
        <v>2.6654199999999999E-2</v>
      </c>
      <c r="H26" s="1">
        <v>9.7843400000000007E-3</v>
      </c>
      <c r="I26" s="1">
        <v>2.7308800000000001E-2</v>
      </c>
      <c r="J26" s="1">
        <v>5.3701900000000002E-5</v>
      </c>
      <c r="K26" s="1">
        <v>6.5778899999999999E-4</v>
      </c>
      <c r="L26" s="1">
        <v>1720.27</v>
      </c>
      <c r="M26" s="1">
        <v>279.72500000000002</v>
      </c>
      <c r="N26" s="1">
        <v>1000</v>
      </c>
      <c r="O26" s="1">
        <v>0.1</v>
      </c>
      <c r="P26" s="1">
        <v>1000</v>
      </c>
      <c r="Q26" s="1">
        <v>0.1</v>
      </c>
      <c r="R26" s="1">
        <v>1000</v>
      </c>
      <c r="S26">
        <v>64</v>
      </c>
      <c r="T26" s="1">
        <v>3.94430452611E-30</v>
      </c>
      <c r="U26" s="1">
        <v>5.7571246270100001E-15</v>
      </c>
    </row>
    <row r="27" spans="1:21">
      <c r="A27" t="s">
        <v>0</v>
      </c>
      <c r="B27">
        <v>20</v>
      </c>
      <c r="C27" t="s">
        <v>1</v>
      </c>
      <c r="D27" s="1">
        <v>0.1</v>
      </c>
      <c r="E27" s="1">
        <v>6.76882E-6</v>
      </c>
      <c r="F27" s="1">
        <v>1.1721399999999999E-3</v>
      </c>
      <c r="G27" s="1">
        <v>2.6654199999999999E-2</v>
      </c>
      <c r="H27" s="1">
        <v>9.7843400000000007E-3</v>
      </c>
      <c r="I27" s="1">
        <v>2.7308800000000001E-2</v>
      </c>
      <c r="J27" s="1">
        <v>5.3701900000000002E-5</v>
      </c>
      <c r="K27" s="1">
        <v>6.5778899999999999E-4</v>
      </c>
      <c r="L27" s="1">
        <v>860.221</v>
      </c>
      <c r="M27" s="1">
        <v>139.87899999999999</v>
      </c>
      <c r="N27" s="1">
        <v>1000</v>
      </c>
      <c r="O27" s="1">
        <v>0.1</v>
      </c>
      <c r="P27" s="1">
        <v>1000</v>
      </c>
      <c r="Q27" s="1">
        <v>0.1</v>
      </c>
      <c r="R27" s="1">
        <v>1000</v>
      </c>
      <c r="S27">
        <v>128</v>
      </c>
      <c r="T27">
        <v>0</v>
      </c>
      <c r="U27" s="1">
        <v>1.4382424012999999E-14</v>
      </c>
    </row>
    <row r="28" spans="1:21">
      <c r="A28" t="s">
        <v>0</v>
      </c>
      <c r="B28">
        <v>4</v>
      </c>
      <c r="C28" t="s">
        <v>1</v>
      </c>
      <c r="D28" s="1">
        <v>0.1</v>
      </c>
      <c r="E28" s="1">
        <v>6.76882E-6</v>
      </c>
      <c r="F28" s="1">
        <v>1.3343</v>
      </c>
      <c r="G28" s="1">
        <v>2.6654199999999999E-2</v>
      </c>
      <c r="H28" s="1">
        <v>9.7843400000000007E-3</v>
      </c>
      <c r="I28" s="1">
        <v>2.7308800000000001E-2</v>
      </c>
      <c r="J28" s="1">
        <v>5.3701900000000002E-5</v>
      </c>
      <c r="K28" s="1">
        <v>1.15037E-6</v>
      </c>
      <c r="L28" s="1">
        <v>1.2292400000000001</v>
      </c>
      <c r="M28" s="1">
        <v>1998.77</v>
      </c>
      <c r="N28" s="1">
        <v>1000</v>
      </c>
      <c r="O28" s="1">
        <v>0.1</v>
      </c>
      <c r="P28" s="1">
        <v>1000</v>
      </c>
      <c r="Q28" s="1">
        <v>1000</v>
      </c>
      <c r="R28" s="1">
        <v>0.1</v>
      </c>
      <c r="S28">
        <v>64</v>
      </c>
      <c r="T28" s="1">
        <v>2.3665827156599999E-30</v>
      </c>
      <c r="U28" s="1">
        <v>6.93523614275E-15</v>
      </c>
    </row>
    <row r="29" spans="1:21">
      <c r="A29" t="s">
        <v>0</v>
      </c>
      <c r="B29">
        <v>9</v>
      </c>
      <c r="C29" t="s">
        <v>1</v>
      </c>
      <c r="D29" s="1">
        <v>0.1</v>
      </c>
      <c r="E29" s="1">
        <v>6.76882E-6</v>
      </c>
      <c r="F29" s="1">
        <v>1.3337000000000001</v>
      </c>
      <c r="G29" s="1">
        <v>2.6654199999999999E-2</v>
      </c>
      <c r="H29" s="1">
        <v>9.7843400000000007E-3</v>
      </c>
      <c r="I29" s="1">
        <v>2.7308800000000001E-2</v>
      </c>
      <c r="J29" s="1">
        <v>5.3701900000000002E-5</v>
      </c>
      <c r="K29" s="1">
        <v>1.15037E-6</v>
      </c>
      <c r="L29" s="1">
        <v>0.61467899999999998</v>
      </c>
      <c r="M29" s="1">
        <v>999.48500000000001</v>
      </c>
      <c r="N29" s="1">
        <v>1000</v>
      </c>
      <c r="O29" s="1">
        <v>0.1</v>
      </c>
      <c r="P29" s="1">
        <v>1000</v>
      </c>
      <c r="Q29" s="1">
        <v>1000</v>
      </c>
      <c r="R29" s="1">
        <v>0.1</v>
      </c>
      <c r="S29">
        <v>128</v>
      </c>
      <c r="T29" s="1">
        <v>1.10440526731E-29</v>
      </c>
      <c r="U29" s="1">
        <v>1.3743579027400001E-14</v>
      </c>
    </row>
    <row r="30" spans="1:21">
      <c r="A30" t="s">
        <v>0</v>
      </c>
      <c r="B30">
        <v>23</v>
      </c>
      <c r="C30" t="s">
        <v>1</v>
      </c>
      <c r="D30" s="1">
        <v>0.1</v>
      </c>
      <c r="E30" s="1">
        <v>6.76882E-6</v>
      </c>
      <c r="F30" s="1">
        <v>2.4017499999999998</v>
      </c>
      <c r="G30" s="1">
        <v>2.6654199999999999E-2</v>
      </c>
      <c r="H30" s="1">
        <v>9.7843400000000007E-3</v>
      </c>
      <c r="I30" s="1">
        <v>2.7308800000000001E-2</v>
      </c>
      <c r="J30" s="1">
        <v>5.3701900000000002E-5</v>
      </c>
      <c r="K30" s="1">
        <v>6.5778899999999999E-4</v>
      </c>
      <c r="L30" s="1">
        <v>0.61467899999999998</v>
      </c>
      <c r="M30" s="1">
        <v>999.48500000000001</v>
      </c>
      <c r="N30" s="1">
        <v>1000</v>
      </c>
      <c r="O30" s="1">
        <v>0.1</v>
      </c>
      <c r="P30" s="1">
        <v>1000</v>
      </c>
      <c r="Q30" s="1">
        <v>1000</v>
      </c>
      <c r="R30" s="1">
        <v>1000</v>
      </c>
      <c r="S30">
        <v>128</v>
      </c>
      <c r="T30" s="1">
        <v>2.2088105346200001E-29</v>
      </c>
      <c r="U30" s="1">
        <v>1.4222342614900001E-14</v>
      </c>
    </row>
    <row r="31" spans="1:21">
      <c r="A31" t="s">
        <v>0</v>
      </c>
      <c r="B31">
        <v>43</v>
      </c>
      <c r="C31" t="s">
        <v>1</v>
      </c>
      <c r="D31" s="1">
        <v>0.1</v>
      </c>
      <c r="E31" s="1">
        <v>6.76882E-6</v>
      </c>
      <c r="F31" s="1">
        <v>2.40218</v>
      </c>
      <c r="G31" s="1">
        <v>2.6654199999999999E-2</v>
      </c>
      <c r="H31" s="1">
        <v>9.7843400000000007E-3</v>
      </c>
      <c r="I31" s="1">
        <v>2.7308800000000001E-2</v>
      </c>
      <c r="J31" s="1">
        <v>5.3701900000000002E-5</v>
      </c>
      <c r="K31" s="1">
        <v>6.5778899999999999E-4</v>
      </c>
      <c r="L31" s="1">
        <v>1.2292400000000001</v>
      </c>
      <c r="M31" s="1">
        <v>1998.77</v>
      </c>
      <c r="N31" s="1">
        <v>1000</v>
      </c>
      <c r="O31" s="1">
        <v>0.1</v>
      </c>
      <c r="P31" s="1">
        <v>1000</v>
      </c>
      <c r="Q31" s="1">
        <v>1000</v>
      </c>
      <c r="R31" s="1">
        <v>1000</v>
      </c>
      <c r="S31">
        <v>64</v>
      </c>
      <c r="T31" s="1">
        <v>4.7331654313300001E-30</v>
      </c>
      <c r="U31" s="1">
        <v>5.7486589796200002E-15</v>
      </c>
    </row>
    <row r="32" spans="1:21">
      <c r="A32" t="s">
        <v>0</v>
      </c>
      <c r="B32">
        <v>35</v>
      </c>
      <c r="C32" t="s">
        <v>1</v>
      </c>
      <c r="D32" s="1">
        <v>0.1</v>
      </c>
      <c r="E32" s="1">
        <v>6.76882E-6</v>
      </c>
      <c r="F32" s="1">
        <v>3375.8203699999999</v>
      </c>
      <c r="G32" s="1">
        <v>2.6654199999999999E-2</v>
      </c>
      <c r="H32" s="1">
        <v>9.7843400000000007E-3</v>
      </c>
      <c r="I32" s="1">
        <v>2.7308800000000001E-2</v>
      </c>
      <c r="J32" s="1">
        <v>5.3701900000000002E-5</v>
      </c>
      <c r="K32" s="1">
        <v>4.4014267599999998E-4</v>
      </c>
      <c r="L32" s="1">
        <v>1.20782732E-4</v>
      </c>
      <c r="M32" s="1">
        <v>0.199879</v>
      </c>
      <c r="N32" s="1">
        <v>1000</v>
      </c>
      <c r="O32" s="1">
        <v>341.529268</v>
      </c>
      <c r="P32" s="1">
        <v>1000</v>
      </c>
      <c r="Q32" s="1">
        <v>1000</v>
      </c>
      <c r="R32" s="1">
        <v>335.43231700000001</v>
      </c>
      <c r="S32">
        <v>164</v>
      </c>
      <c r="T32">
        <v>0.12564154344600001</v>
      </c>
      <c r="U32">
        <v>1.5837876549800001</v>
      </c>
    </row>
    <row r="33" spans="1:21">
      <c r="A33" t="s">
        <v>0</v>
      </c>
      <c r="B33">
        <v>31</v>
      </c>
      <c r="C33" t="s">
        <v>1</v>
      </c>
      <c r="D33" s="1">
        <v>0.1</v>
      </c>
      <c r="E33" s="1">
        <v>6.76882E-6</v>
      </c>
      <c r="F33" s="1">
        <v>4230.7822999999999</v>
      </c>
      <c r="G33" s="1">
        <v>2.6654199999999999E-2</v>
      </c>
      <c r="H33" s="1">
        <v>9.7843400000000007E-3</v>
      </c>
      <c r="I33" s="1">
        <v>2.7308800000000001E-2</v>
      </c>
      <c r="J33" s="1">
        <v>5.3701900000000002E-5</v>
      </c>
      <c r="K33" s="1">
        <v>2.3045635500000001</v>
      </c>
      <c r="L33" s="1">
        <v>1.01843266E-4</v>
      </c>
      <c r="M33" s="1">
        <v>0.199898198</v>
      </c>
      <c r="N33" s="1">
        <v>1000</v>
      </c>
      <c r="O33" s="1">
        <v>357.20714299999997</v>
      </c>
      <c r="P33" s="1">
        <v>0.1</v>
      </c>
      <c r="Q33" s="1">
        <v>357.20714299999997</v>
      </c>
      <c r="R33" s="1">
        <v>1000</v>
      </c>
      <c r="S33">
        <v>126</v>
      </c>
      <c r="T33">
        <v>0.346402243439</v>
      </c>
      <c r="U33">
        <v>2.1720474295000001</v>
      </c>
    </row>
    <row r="34" spans="1:21">
      <c r="A34" t="s">
        <v>0</v>
      </c>
      <c r="B34">
        <v>42</v>
      </c>
      <c r="C34" t="s">
        <v>1</v>
      </c>
      <c r="D34" s="1">
        <v>0.1</v>
      </c>
      <c r="E34" s="1">
        <v>6.76882E-6</v>
      </c>
      <c r="F34" s="1">
        <v>2.48619441</v>
      </c>
      <c r="G34" s="1">
        <v>2.6654199999999999E-2</v>
      </c>
      <c r="H34" s="1">
        <v>9.7843400000000007E-3</v>
      </c>
      <c r="I34" s="1">
        <v>2.7308800000000001E-2</v>
      </c>
      <c r="J34" s="1">
        <v>5.3701900000000002E-5</v>
      </c>
      <c r="K34" s="1">
        <v>6.4679301500000005E-4</v>
      </c>
      <c r="L34" s="1">
        <v>0.86990783800000004</v>
      </c>
      <c r="M34" s="1">
        <v>1469.7719999999999</v>
      </c>
      <c r="N34" s="1">
        <v>1000</v>
      </c>
      <c r="O34" s="1">
        <v>1000</v>
      </c>
      <c r="P34" s="1">
        <v>0.1</v>
      </c>
      <c r="Q34" s="1">
        <v>0.1</v>
      </c>
      <c r="R34" s="1">
        <v>0.1</v>
      </c>
      <c r="S34">
        <v>136</v>
      </c>
      <c r="T34">
        <v>6.1847295223999999E-3</v>
      </c>
      <c r="U34">
        <v>0.111518351345</v>
      </c>
    </row>
    <row r="35" spans="1:21">
      <c r="A35" t="s">
        <v>0</v>
      </c>
      <c r="B35">
        <v>5</v>
      </c>
      <c r="C35" t="s">
        <v>1</v>
      </c>
      <c r="D35" s="1">
        <v>0.1</v>
      </c>
      <c r="E35" s="1">
        <v>6.76882E-6</v>
      </c>
      <c r="F35" s="1">
        <v>4081.5384199999999</v>
      </c>
      <c r="G35" s="1">
        <v>2.6654199999999999E-2</v>
      </c>
      <c r="H35" s="1">
        <v>9.7843400000000007E-3</v>
      </c>
      <c r="I35" s="1">
        <v>2.7308800000000001E-2</v>
      </c>
      <c r="J35" s="1">
        <v>5.3701900000000002E-5</v>
      </c>
      <c r="K35" s="1">
        <v>6.4539977599999999E-4</v>
      </c>
      <c r="L35" s="1">
        <v>5.5008770800000002E-7</v>
      </c>
      <c r="M35" s="1">
        <v>0.19999946099999999</v>
      </c>
      <c r="N35" s="1">
        <v>1000</v>
      </c>
      <c r="O35" s="1">
        <v>1000</v>
      </c>
      <c r="P35" s="1">
        <v>0.1</v>
      </c>
      <c r="Q35" s="1">
        <v>460.580263</v>
      </c>
      <c r="R35" s="1">
        <v>0.1</v>
      </c>
      <c r="S35">
        <v>76</v>
      </c>
      <c r="T35">
        <v>8.42689072746E-2</v>
      </c>
      <c r="U35">
        <v>1.16252542093</v>
      </c>
    </row>
    <row r="36" spans="1:21">
      <c r="A36" t="s">
        <v>0</v>
      </c>
      <c r="B36">
        <v>32</v>
      </c>
      <c r="C36" t="s">
        <v>1</v>
      </c>
      <c r="D36" s="1">
        <v>0.1</v>
      </c>
      <c r="E36" s="1">
        <v>6.76882E-6</v>
      </c>
      <c r="F36" s="1">
        <v>4544.3740900000003</v>
      </c>
      <c r="G36" s="1">
        <v>2.6654199999999999E-2</v>
      </c>
      <c r="H36" s="1">
        <v>9.7843400000000007E-3</v>
      </c>
      <c r="I36" s="1">
        <v>2.7308800000000001E-2</v>
      </c>
      <c r="J36" s="1">
        <v>5.3701900000000002E-5</v>
      </c>
      <c r="K36" s="1">
        <v>6.4504987299999995E-4</v>
      </c>
      <c r="L36" s="1">
        <v>8.43393564E-5</v>
      </c>
      <c r="M36" s="1">
        <v>1354.61</v>
      </c>
      <c r="N36" s="1">
        <v>1000</v>
      </c>
      <c r="O36" s="1">
        <v>1000</v>
      </c>
      <c r="P36" s="1">
        <v>0.1</v>
      </c>
      <c r="Q36" s="1">
        <v>1000</v>
      </c>
      <c r="R36" s="1">
        <v>0.1</v>
      </c>
      <c r="S36">
        <v>110</v>
      </c>
      <c r="T36">
        <v>2.8435182220999999E-2</v>
      </c>
      <c r="U36">
        <v>0.160004179655</v>
      </c>
    </row>
    <row r="37" spans="1:21">
      <c r="A37" t="s">
        <v>0</v>
      </c>
      <c r="B37">
        <v>13</v>
      </c>
      <c r="C37" t="s">
        <v>1</v>
      </c>
      <c r="D37" s="1">
        <v>0.1</v>
      </c>
      <c r="E37" s="1">
        <v>6.76882E-6</v>
      </c>
      <c r="F37" s="1">
        <v>1.09549E-3</v>
      </c>
      <c r="G37" s="1">
        <v>2.6654199999999999E-2</v>
      </c>
      <c r="H37" s="1">
        <v>9.7843400000000007E-3</v>
      </c>
      <c r="I37" s="1">
        <v>2.7308800000000001E-2</v>
      </c>
      <c r="J37" s="1">
        <v>5.3701900000000002E-5</v>
      </c>
      <c r="K37" s="1">
        <v>6.46793E-4</v>
      </c>
      <c r="L37" s="1">
        <v>0.16827800000000001</v>
      </c>
      <c r="M37" s="1">
        <v>3.1721800000000001E-2</v>
      </c>
      <c r="N37" s="1">
        <v>1000</v>
      </c>
      <c r="O37" s="1">
        <v>1000</v>
      </c>
      <c r="P37" s="1">
        <v>1000</v>
      </c>
      <c r="Q37" s="1">
        <v>0.1</v>
      </c>
      <c r="R37" s="1">
        <v>0.1</v>
      </c>
      <c r="S37">
        <v>64</v>
      </c>
      <c r="T37" s="1">
        <v>7.8886090522099998E-31</v>
      </c>
      <c r="U37" s="1">
        <v>6.0034225744399998E-15</v>
      </c>
    </row>
    <row r="38" spans="1:21">
      <c r="A38" t="s">
        <v>0</v>
      </c>
      <c r="B38">
        <v>37</v>
      </c>
      <c r="C38" t="s">
        <v>1</v>
      </c>
      <c r="D38" s="1">
        <v>0.1</v>
      </c>
      <c r="E38" s="1">
        <v>6.76882E-6</v>
      </c>
      <c r="F38" s="1">
        <v>1.2084699999999999E-3</v>
      </c>
      <c r="G38" s="1">
        <v>2.6654199999999999E-2</v>
      </c>
      <c r="H38" s="1">
        <v>9.7843400000000007E-3</v>
      </c>
      <c r="I38" s="1">
        <v>2.7308800000000001E-2</v>
      </c>
      <c r="J38" s="1">
        <v>5.3701900000000002E-5</v>
      </c>
      <c r="K38" s="1">
        <v>6.46793E-4</v>
      </c>
      <c r="L38" s="1">
        <v>1146.904</v>
      </c>
      <c r="M38" s="1">
        <v>186.49433300000001</v>
      </c>
      <c r="N38" s="1">
        <v>1000</v>
      </c>
      <c r="O38" s="1">
        <v>1000</v>
      </c>
      <c r="P38" s="1">
        <v>1000</v>
      </c>
      <c r="Q38" s="1">
        <v>0.1</v>
      </c>
      <c r="R38" s="1">
        <v>0.1</v>
      </c>
      <c r="S38">
        <v>192</v>
      </c>
      <c r="T38">
        <v>3.3004134775599998E-2</v>
      </c>
      <c r="U38">
        <v>0.140024685042</v>
      </c>
    </row>
    <row r="39" spans="1:21">
      <c r="A39" t="s">
        <v>0</v>
      </c>
      <c r="B39">
        <v>6</v>
      </c>
      <c r="C39" t="s">
        <v>1</v>
      </c>
      <c r="D39" s="1">
        <v>0.1</v>
      </c>
      <c r="E39" s="1">
        <v>6.76882E-6</v>
      </c>
      <c r="F39" s="1">
        <v>1.0930249999999999</v>
      </c>
      <c r="G39" s="1">
        <v>2.6654199999999999E-2</v>
      </c>
      <c r="H39" s="1">
        <v>9.7843400000000007E-3</v>
      </c>
      <c r="I39" s="1">
        <v>2.7308800000000001E-2</v>
      </c>
      <c r="J39" s="1">
        <v>5.3701900000000002E-5</v>
      </c>
      <c r="K39" s="1">
        <v>6.45167</v>
      </c>
      <c r="L39" s="1">
        <v>860.22006899999997</v>
      </c>
      <c r="M39" s="1">
        <v>139.87868</v>
      </c>
      <c r="N39" s="1">
        <v>1000</v>
      </c>
      <c r="O39" s="1">
        <v>1000</v>
      </c>
      <c r="P39" s="1">
        <v>1000</v>
      </c>
      <c r="Q39" s="1">
        <v>0.1</v>
      </c>
      <c r="R39" s="1">
        <v>1000</v>
      </c>
      <c r="S39">
        <v>256</v>
      </c>
      <c r="T39">
        <v>0.57226658858000001</v>
      </c>
      <c r="U39">
        <v>1.9601692313500001</v>
      </c>
    </row>
    <row r="40" spans="1:21">
      <c r="A40" t="s">
        <v>0</v>
      </c>
      <c r="B40">
        <v>29</v>
      </c>
      <c r="C40" t="s">
        <v>1</v>
      </c>
      <c r="D40" s="1">
        <v>0.1</v>
      </c>
      <c r="E40" s="1">
        <v>6.76882E-6</v>
      </c>
      <c r="F40" s="1">
        <v>2.3840133300000002</v>
      </c>
      <c r="G40" s="1">
        <v>2.6654199999999999E-2</v>
      </c>
      <c r="H40" s="1">
        <v>9.7843400000000007E-3</v>
      </c>
      <c r="I40" s="1">
        <v>2.7308800000000001E-2</v>
      </c>
      <c r="J40" s="1">
        <v>5.3701900000000002E-5</v>
      </c>
      <c r="K40" s="1">
        <v>6.46793E-4</v>
      </c>
      <c r="L40" s="1">
        <v>0.81953266700000005</v>
      </c>
      <c r="M40" s="1">
        <v>1332.58</v>
      </c>
      <c r="N40" s="1">
        <v>1000</v>
      </c>
      <c r="O40" s="1">
        <v>1000</v>
      </c>
      <c r="P40" s="1">
        <v>1000</v>
      </c>
      <c r="Q40" s="1">
        <v>1000</v>
      </c>
      <c r="R40" s="1">
        <v>0.1</v>
      </c>
      <c r="S40">
        <v>192</v>
      </c>
      <c r="T40">
        <v>3.2891335705200003E-2</v>
      </c>
      <c r="U40">
        <v>0.13954611911600001</v>
      </c>
    </row>
    <row r="41" spans="1:21">
      <c r="A41" t="s">
        <v>0</v>
      </c>
      <c r="B41">
        <v>2</v>
      </c>
      <c r="C41" t="s">
        <v>1</v>
      </c>
      <c r="D41" s="1">
        <v>0.1</v>
      </c>
      <c r="E41" s="1">
        <v>6.76882E-6</v>
      </c>
      <c r="F41" s="1">
        <v>10494.7333</v>
      </c>
      <c r="G41" s="1">
        <v>2.6654199999999999E-2</v>
      </c>
      <c r="H41" s="1">
        <v>9.7843400000000007E-3</v>
      </c>
      <c r="I41" s="1">
        <v>2.7308800000000001E-2</v>
      </c>
      <c r="J41" s="1">
        <v>5.3701900000000002E-5</v>
      </c>
      <c r="K41" s="1">
        <v>6.45167</v>
      </c>
      <c r="L41" s="1">
        <v>0.81953266700000005</v>
      </c>
      <c r="M41" s="1">
        <v>1332.58</v>
      </c>
      <c r="N41" s="1">
        <v>1000</v>
      </c>
      <c r="O41" s="1">
        <v>1000</v>
      </c>
      <c r="P41" s="1">
        <v>1000</v>
      </c>
      <c r="Q41" s="1">
        <v>1000</v>
      </c>
      <c r="R41" s="1">
        <v>1000</v>
      </c>
      <c r="S41">
        <v>192</v>
      </c>
      <c r="T41">
        <v>3.2891335622900003E-2</v>
      </c>
      <c r="U41">
        <v>0.13954611876699999</v>
      </c>
    </row>
    <row r="42" spans="1:21">
      <c r="A42" t="s">
        <v>0</v>
      </c>
      <c r="B42">
        <v>38</v>
      </c>
      <c r="C42" t="s">
        <v>1</v>
      </c>
      <c r="D42" s="1">
        <v>0.1</v>
      </c>
      <c r="E42" s="1">
        <v>6.76882E-6</v>
      </c>
      <c r="F42" s="1">
        <v>5124.3833299999997</v>
      </c>
      <c r="G42" s="1">
        <v>2.6654199999999999E-2</v>
      </c>
      <c r="H42" s="1">
        <v>9.7843400000000007E-3</v>
      </c>
      <c r="I42" s="1">
        <v>2.7308800000000001E-2</v>
      </c>
      <c r="J42" s="1">
        <v>5.3701900000000002E-5</v>
      </c>
      <c r="K42" s="1">
        <v>6.4515900000000004</v>
      </c>
      <c r="L42" s="1">
        <v>1.2522499999999999E-4</v>
      </c>
      <c r="M42" s="1">
        <v>0.19987466700000001</v>
      </c>
      <c r="N42" s="1">
        <v>1000</v>
      </c>
      <c r="O42" s="1">
        <v>1000</v>
      </c>
      <c r="P42" s="1">
        <v>1000</v>
      </c>
      <c r="Q42" s="1">
        <v>1000</v>
      </c>
      <c r="R42" s="1">
        <v>1000</v>
      </c>
      <c r="S42">
        <v>21</v>
      </c>
      <c r="T42">
        <v>1.1436881576899999E-2</v>
      </c>
      <c r="U42">
        <v>3.19643219145E-2</v>
      </c>
    </row>
    <row r="43" spans="1:21">
      <c r="A43" t="s">
        <v>0</v>
      </c>
      <c r="B43">
        <v>24</v>
      </c>
      <c r="C43" t="s">
        <v>1</v>
      </c>
      <c r="D43" s="1">
        <v>1000</v>
      </c>
      <c r="E43" s="1">
        <v>6.7688200000000004E-2</v>
      </c>
      <c r="F43" s="1">
        <v>10.033939999999999</v>
      </c>
      <c r="G43" s="1">
        <v>240.965</v>
      </c>
      <c r="H43" s="1">
        <v>108.51900000000001</v>
      </c>
      <c r="I43" s="1">
        <v>307.79399999999998</v>
      </c>
      <c r="J43" s="1">
        <v>0.51533600000000002</v>
      </c>
      <c r="K43" s="1">
        <v>9.7565700000000009E-3</v>
      </c>
      <c r="L43" s="1">
        <v>1107.40867</v>
      </c>
      <c r="M43" s="1">
        <v>225.99199999999999</v>
      </c>
      <c r="N43" s="1">
        <v>1000</v>
      </c>
      <c r="O43" s="1">
        <v>0.1</v>
      </c>
      <c r="P43" s="1">
        <v>1000</v>
      </c>
      <c r="Q43" s="1">
        <v>0.1</v>
      </c>
      <c r="R43" s="1">
        <v>0.1</v>
      </c>
      <c r="S43">
        <v>192</v>
      </c>
      <c r="T43">
        <v>2.9678971689100001E-2</v>
      </c>
      <c r="U43">
        <v>0.12591721283999999</v>
      </c>
    </row>
    <row r="44" spans="1:21">
      <c r="A44" t="s">
        <v>0</v>
      </c>
      <c r="B44">
        <v>34</v>
      </c>
      <c r="C44" t="s">
        <v>1</v>
      </c>
      <c r="D44" s="1">
        <v>1000</v>
      </c>
      <c r="E44" s="1">
        <v>6.7688200000000004E-2</v>
      </c>
      <c r="F44" s="1">
        <v>10.05608</v>
      </c>
      <c r="G44" s="1">
        <v>240.965</v>
      </c>
      <c r="H44" s="1">
        <v>108.51900000000001</v>
      </c>
      <c r="I44" s="1">
        <v>307.79399999999998</v>
      </c>
      <c r="J44" s="1">
        <v>0.51533600000000002</v>
      </c>
      <c r="K44" s="1">
        <v>0.115297</v>
      </c>
      <c r="L44" s="1">
        <v>1107.40867</v>
      </c>
      <c r="M44" s="1">
        <v>225.99199999999999</v>
      </c>
      <c r="N44" s="1">
        <v>1000</v>
      </c>
      <c r="O44" s="1">
        <v>0.1</v>
      </c>
      <c r="P44" s="1">
        <v>1000</v>
      </c>
      <c r="Q44" s="1">
        <v>0.1</v>
      </c>
      <c r="R44" s="1">
        <v>1000</v>
      </c>
      <c r="S44">
        <v>192</v>
      </c>
      <c r="T44">
        <v>2.9677967407099999E-2</v>
      </c>
      <c r="U44">
        <v>0.12591295203299999</v>
      </c>
    </row>
    <row r="45" spans="1:21">
      <c r="A45" t="s">
        <v>0</v>
      </c>
      <c r="B45">
        <v>12</v>
      </c>
      <c r="C45" t="s">
        <v>1</v>
      </c>
      <c r="D45" s="1">
        <v>1000</v>
      </c>
      <c r="E45" s="1">
        <v>6.7688200000000004E-2</v>
      </c>
      <c r="F45" s="1">
        <v>10.035113300000001</v>
      </c>
      <c r="G45" s="1">
        <v>240.965</v>
      </c>
      <c r="H45" s="1">
        <v>108.51900000000001</v>
      </c>
      <c r="I45" s="1">
        <v>307.79399999999998</v>
      </c>
      <c r="J45" s="1">
        <v>0.51533600000000002</v>
      </c>
      <c r="K45" s="1">
        <v>1.5306999999999999E-2</v>
      </c>
      <c r="L45" s="1">
        <v>1107.40867</v>
      </c>
      <c r="M45" s="1">
        <v>225.99199999999999</v>
      </c>
      <c r="N45" s="1">
        <v>1000</v>
      </c>
      <c r="O45" s="1">
        <v>1000</v>
      </c>
      <c r="P45" s="1">
        <v>1000</v>
      </c>
      <c r="Q45" s="1">
        <v>0.1</v>
      </c>
      <c r="R45" s="1">
        <v>0.1</v>
      </c>
      <c r="S45">
        <v>192</v>
      </c>
      <c r="T45">
        <v>2.9678922986E-2</v>
      </c>
      <c r="U45">
        <v>0.12591700620999999</v>
      </c>
    </row>
    <row r="46" spans="1:21">
      <c r="A46" t="s">
        <v>0</v>
      </c>
      <c r="B46">
        <v>7</v>
      </c>
      <c r="C46" t="s">
        <v>1</v>
      </c>
      <c r="D46" s="1">
        <v>1000</v>
      </c>
      <c r="E46" s="1">
        <v>6.7688200000000004E-2</v>
      </c>
      <c r="F46" s="1">
        <v>11.492733299999999</v>
      </c>
      <c r="G46" s="1">
        <v>240.965</v>
      </c>
      <c r="H46" s="1">
        <v>108.51900000000001</v>
      </c>
      <c r="I46" s="1">
        <v>307.79399999999998</v>
      </c>
      <c r="J46" s="1">
        <v>0.51533600000000002</v>
      </c>
      <c r="K46" s="1">
        <v>6.9720599999999999</v>
      </c>
      <c r="L46" s="1">
        <v>1107.40867</v>
      </c>
      <c r="M46" s="1">
        <v>225.99199999999999</v>
      </c>
      <c r="N46" s="1">
        <v>1000</v>
      </c>
      <c r="O46" s="1">
        <v>1000</v>
      </c>
      <c r="P46" s="1">
        <v>1000</v>
      </c>
      <c r="Q46" s="1">
        <v>0.1</v>
      </c>
      <c r="R46" s="1">
        <v>1000</v>
      </c>
      <c r="S46">
        <v>192</v>
      </c>
      <c r="T46">
        <v>2.96285009829E-2</v>
      </c>
      <c r="U46">
        <v>0.12570308376799999</v>
      </c>
    </row>
    <row r="47" spans="1:21">
      <c r="S47">
        <f>SUM(S2:S46)</f>
        <v>4771</v>
      </c>
      <c r="T47">
        <f>AVERAGE(T2:T46)</f>
        <v>0.11900159999244721</v>
      </c>
      <c r="U47">
        <f>AVERAGE(U2:U46)</f>
        <v>0.56337249839297143</v>
      </c>
    </row>
    <row r="48" spans="1:21">
      <c r="A48" t="s">
        <v>9</v>
      </c>
      <c r="C48">
        <f>SUM(S43:S46)</f>
        <v>768</v>
      </c>
      <c r="E48" t="s">
        <v>10</v>
      </c>
      <c r="G48">
        <f>SUM(S2:S42)</f>
        <v>4003</v>
      </c>
    </row>
    <row r="49" spans="1:7">
      <c r="A49" t="s">
        <v>11</v>
      </c>
      <c r="C49">
        <f>SUM(S15:S46)</f>
        <v>3773</v>
      </c>
      <c r="E49" t="s">
        <v>12</v>
      </c>
      <c r="G49">
        <f>SUM(S2:S14)</f>
        <v>998</v>
      </c>
    </row>
    <row r="50" spans="1:7">
      <c r="A50" t="s">
        <v>13</v>
      </c>
      <c r="C50">
        <f>SUM(S6:S9,S11,S13:S14,S23:S32,S37:S46)</f>
        <v>3334</v>
      </c>
      <c r="E50" t="s">
        <v>14</v>
      </c>
      <c r="G50">
        <f>SUM(S2:S5,S10,S12,S15:S22,S33:S36)</f>
        <v>1437</v>
      </c>
    </row>
  </sheetData>
  <sortState ref="A1:XFD1048576">
    <sortCondition ref="D2:D1048576"/>
    <sortCondition ref="N2:N1048576"/>
    <sortCondition ref="O2:O1048576"/>
  </sortState>
  <phoneticPr fontId="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>
      <selection activeCell="B1" sqref="B1:P1"/>
    </sheetView>
  </sheetViews>
  <sheetFormatPr defaultColWidth="11" defaultRowHeight="12.75"/>
  <cols>
    <col min="2" max="4" width="8.375" bestFit="1" customWidth="1"/>
    <col min="5" max="5" width="9.625" bestFit="1" customWidth="1"/>
    <col min="6" max="6" width="8.375" bestFit="1" customWidth="1"/>
    <col min="7" max="7" width="11.625" bestFit="1" customWidth="1"/>
    <col min="8" max="9" width="9.625" bestFit="1" customWidth="1"/>
    <col min="10" max="16" width="8.375" bestFit="1" customWidth="1"/>
  </cols>
  <sheetData>
    <row r="1" spans="1:16" ht="14.25">
      <c r="B1" t="s">
        <v>15</v>
      </c>
      <c r="C1" t="s">
        <v>16</v>
      </c>
      <c r="D1" t="s">
        <v>2</v>
      </c>
      <c r="E1" t="s">
        <v>3</v>
      </c>
      <c r="F1" t="s">
        <v>18</v>
      </c>
      <c r="G1" t="s">
        <v>19</v>
      </c>
      <c r="H1" t="s">
        <v>4</v>
      </c>
      <c r="I1" t="s">
        <v>5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>
      <c r="A2" t="s">
        <v>15</v>
      </c>
      <c r="B2" s="7">
        <v>1</v>
      </c>
      <c r="C2" s="7">
        <v>1</v>
      </c>
      <c r="D2" s="13">
        <v>-0.22009255362051999</v>
      </c>
      <c r="E2" s="7">
        <v>1</v>
      </c>
      <c r="F2" s="7">
        <v>1</v>
      </c>
      <c r="G2" s="7">
        <v>0.999999999999999</v>
      </c>
      <c r="H2" s="7">
        <v>1</v>
      </c>
      <c r="I2" s="6">
        <v>6.9929064560522803E-3</v>
      </c>
      <c r="J2" s="8">
        <v>0.517369516327011</v>
      </c>
      <c r="K2" s="6">
        <v>-0.19150099356768199</v>
      </c>
      <c r="L2" s="6">
        <v>0.19908326484529901</v>
      </c>
      <c r="M2" s="6">
        <v>0.111756893435096</v>
      </c>
      <c r="N2" s="13">
        <v>0.25503068522533501</v>
      </c>
      <c r="O2" s="13">
        <v>-0.27060195492157102</v>
      </c>
      <c r="P2" s="6">
        <v>4.4834223119627203E-2</v>
      </c>
    </row>
    <row r="3" spans="1:16" ht="14.25">
      <c r="A3" t="s">
        <v>16</v>
      </c>
      <c r="B3" s="11"/>
      <c r="C3" s="7">
        <v>1</v>
      </c>
      <c r="D3" s="13">
        <v>-0.22009255362051999</v>
      </c>
      <c r="E3" s="7">
        <v>0.999999999999999</v>
      </c>
      <c r="F3" s="7">
        <v>0.999999999999999</v>
      </c>
      <c r="G3" s="7">
        <v>1</v>
      </c>
      <c r="H3" s="7">
        <v>1</v>
      </c>
      <c r="I3" s="6">
        <v>6.9929064560523098E-3</v>
      </c>
      <c r="J3" s="8">
        <v>0.517369516327011</v>
      </c>
      <c r="K3" s="6">
        <v>-0.19150099356768299</v>
      </c>
      <c r="L3" s="6">
        <v>0.19908326484529801</v>
      </c>
      <c r="M3" s="6">
        <v>0.111756893435096</v>
      </c>
      <c r="N3" s="13">
        <v>0.25503068522533501</v>
      </c>
      <c r="O3" s="13">
        <v>-0.27060195492157102</v>
      </c>
      <c r="P3" s="6">
        <v>4.4834223119627203E-2</v>
      </c>
    </row>
    <row r="4" spans="1:16">
      <c r="A4" t="s">
        <v>2</v>
      </c>
      <c r="B4" s="6"/>
      <c r="C4" s="6"/>
      <c r="D4" s="7">
        <v>1</v>
      </c>
      <c r="E4" s="13">
        <v>-0.22009255362051999</v>
      </c>
      <c r="F4" s="13">
        <v>-0.22009255362051999</v>
      </c>
      <c r="G4" s="13">
        <v>-0.22009255362051999</v>
      </c>
      <c r="H4" s="13">
        <v>-0.22009255362051999</v>
      </c>
      <c r="I4" s="13">
        <v>0.39009663576266301</v>
      </c>
      <c r="J4" s="13">
        <v>-0.41459166192033098</v>
      </c>
      <c r="K4" s="6">
        <v>-0.111953615587981</v>
      </c>
      <c r="L4" s="13">
        <v>-0.29717626173080203</v>
      </c>
      <c r="M4" s="6">
        <v>0.101152306273725</v>
      </c>
      <c r="N4" s="13">
        <v>-0.350608039545102</v>
      </c>
      <c r="O4" s="8">
        <v>0.54371649722475601</v>
      </c>
      <c r="P4" s="6">
        <v>0.13498356789551599</v>
      </c>
    </row>
    <row r="5" spans="1:16">
      <c r="A5" t="s">
        <v>3</v>
      </c>
      <c r="B5" s="11"/>
      <c r="C5" s="11"/>
      <c r="D5" s="6"/>
      <c r="E5" s="7">
        <v>1</v>
      </c>
      <c r="F5" s="7">
        <v>0.999999999999999</v>
      </c>
      <c r="G5" s="7">
        <v>0.999999999999998</v>
      </c>
      <c r="H5" s="7">
        <v>0.999999999999999</v>
      </c>
      <c r="I5" s="6">
        <v>6.9929064560522803E-3</v>
      </c>
      <c r="J5" s="8">
        <v>0.517369516327011</v>
      </c>
      <c r="K5" s="6">
        <v>-0.19150099356768199</v>
      </c>
      <c r="L5" s="6">
        <v>0.19908326484529801</v>
      </c>
      <c r="M5" s="6">
        <v>0.111756893435096</v>
      </c>
      <c r="N5" s="13">
        <v>0.25503068522533401</v>
      </c>
      <c r="O5" s="13">
        <v>-0.27060195492157102</v>
      </c>
      <c r="P5" s="6">
        <v>4.4834223119627203E-2</v>
      </c>
    </row>
    <row r="6" spans="1:16">
      <c r="A6" t="s">
        <v>18</v>
      </c>
      <c r="B6" s="11"/>
      <c r="C6" s="11"/>
      <c r="D6" s="6"/>
      <c r="E6" s="6"/>
      <c r="F6" s="7">
        <v>1</v>
      </c>
      <c r="G6" s="7">
        <v>1</v>
      </c>
      <c r="H6" s="7">
        <v>1</v>
      </c>
      <c r="I6" s="6">
        <v>6.9929064560523401E-3</v>
      </c>
      <c r="J6" s="8">
        <v>0.517369516327011</v>
      </c>
      <c r="K6" s="6">
        <v>-0.19150099356768199</v>
      </c>
      <c r="L6" s="6">
        <v>0.19908326484529801</v>
      </c>
      <c r="M6" s="6">
        <v>0.111756893435097</v>
      </c>
      <c r="N6" s="13">
        <v>0.25503068522533501</v>
      </c>
      <c r="O6" s="13">
        <v>-0.27060195492157102</v>
      </c>
      <c r="P6" s="6">
        <v>4.4834223119627301E-2</v>
      </c>
    </row>
    <row r="7" spans="1:16">
      <c r="A7" t="s">
        <v>19</v>
      </c>
      <c r="B7" s="11"/>
      <c r="C7" s="11"/>
      <c r="D7" s="6"/>
      <c r="E7" s="6"/>
      <c r="F7" s="6"/>
      <c r="G7" s="7">
        <v>1</v>
      </c>
      <c r="H7" s="7">
        <v>0.999999999999999</v>
      </c>
      <c r="I7" s="6">
        <v>6.9929064560523098E-3</v>
      </c>
      <c r="J7" s="8">
        <v>0.517369516327011</v>
      </c>
      <c r="K7" s="6">
        <v>-0.19150099356768199</v>
      </c>
      <c r="L7" s="6">
        <v>0.19908326484529801</v>
      </c>
      <c r="M7" s="6">
        <v>0.111756893435096</v>
      </c>
      <c r="N7" s="13">
        <v>0.25503068522533501</v>
      </c>
      <c r="O7" s="13">
        <v>-0.27060195492157102</v>
      </c>
      <c r="P7" s="6">
        <v>4.4834223119627203E-2</v>
      </c>
    </row>
    <row r="8" spans="1:16">
      <c r="A8" t="s">
        <v>4</v>
      </c>
      <c r="B8" s="11"/>
      <c r="C8" s="11"/>
      <c r="D8" s="6"/>
      <c r="E8" s="6"/>
      <c r="F8" s="6"/>
      <c r="G8" s="6"/>
      <c r="H8" s="7">
        <v>1</v>
      </c>
      <c r="I8" s="6">
        <v>6.9929064560522803E-3</v>
      </c>
      <c r="J8" s="8">
        <v>0.517369516327011</v>
      </c>
      <c r="K8" s="6">
        <v>-0.19150099356768199</v>
      </c>
      <c r="L8" s="6">
        <v>0.19908326484529801</v>
      </c>
      <c r="M8" s="6">
        <v>0.111756893435096</v>
      </c>
      <c r="N8" s="13">
        <v>0.25503068522533501</v>
      </c>
      <c r="O8" s="13">
        <v>-0.27060195492157102</v>
      </c>
      <c r="P8" s="6">
        <v>4.4834223119627301E-2</v>
      </c>
    </row>
    <row r="9" spans="1:16">
      <c r="A9" t="s">
        <v>5</v>
      </c>
      <c r="B9" s="11"/>
      <c r="C9" s="11"/>
      <c r="D9" s="6"/>
      <c r="E9" s="6"/>
      <c r="F9" s="6"/>
      <c r="G9" s="6"/>
      <c r="H9" s="6"/>
      <c r="I9" s="7">
        <v>1</v>
      </c>
      <c r="J9" s="6">
        <v>7.6583088192711493E-2</v>
      </c>
      <c r="K9" s="13">
        <v>-0.34435300619472797</v>
      </c>
      <c r="L9" s="13">
        <v>-0.46216541707776099</v>
      </c>
      <c r="M9" s="13">
        <v>0.38588396784043799</v>
      </c>
      <c r="N9" s="6">
        <v>0.14682688431844601</v>
      </c>
      <c r="O9" s="6">
        <v>-1.9815943678723899E-2</v>
      </c>
      <c r="P9" s="13">
        <v>0.34433554390856203</v>
      </c>
    </row>
    <row r="10" spans="1:16">
      <c r="A10" t="s">
        <v>20</v>
      </c>
      <c r="B10" s="11"/>
      <c r="C10" s="11"/>
      <c r="D10" s="6"/>
      <c r="E10" s="6"/>
      <c r="F10" s="6"/>
      <c r="G10" s="6"/>
      <c r="H10" s="6"/>
      <c r="I10" s="6"/>
      <c r="J10" s="7">
        <v>1</v>
      </c>
      <c r="K10" s="13">
        <v>-0.38024005279388801</v>
      </c>
      <c r="L10" s="6">
        <v>8.9315657779535901E-2</v>
      </c>
      <c r="M10" s="6">
        <v>9.61593178230217E-2</v>
      </c>
      <c r="N10" s="13">
        <v>0.47835492301674798</v>
      </c>
      <c r="O10" s="8">
        <v>-0.50762489456767701</v>
      </c>
      <c r="P10" s="6">
        <v>8.3685571952196003E-2</v>
      </c>
    </row>
    <row r="11" spans="1:16">
      <c r="A11" t="s">
        <v>21</v>
      </c>
      <c r="B11" s="6"/>
      <c r="C11" s="6"/>
      <c r="D11" s="6"/>
      <c r="E11" s="6"/>
      <c r="F11" s="6"/>
      <c r="G11" s="6"/>
      <c r="H11" s="6"/>
      <c r="I11" s="6"/>
      <c r="J11" s="6"/>
      <c r="K11" s="7">
        <v>1</v>
      </c>
      <c r="L11" s="13">
        <v>0.20334133904920701</v>
      </c>
      <c r="M11" s="13">
        <v>-0.22123007211455001</v>
      </c>
      <c r="N11" s="13">
        <v>-0.33408492646798099</v>
      </c>
      <c r="O11" s="13">
        <v>0.25861667738493699</v>
      </c>
      <c r="P11" s="6">
        <v>-7.3242584784216601E-3</v>
      </c>
    </row>
    <row r="12" spans="1:16">
      <c r="A12" t="s">
        <v>22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7">
        <v>1</v>
      </c>
      <c r="M12" s="6">
        <v>9.6449877503202094E-2</v>
      </c>
      <c r="N12" s="6">
        <v>8.0064076902543496E-2</v>
      </c>
      <c r="O12" s="6">
        <v>-5.41114135705386E-2</v>
      </c>
      <c r="P12" s="6">
        <v>0.15865772558588601</v>
      </c>
    </row>
    <row r="13" spans="1:16">
      <c r="A13" t="s">
        <v>23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>
        <v>1</v>
      </c>
      <c r="N13" s="6">
        <v>0.15788839158072401</v>
      </c>
      <c r="O13" s="6">
        <v>-6.1244133802484203E-2</v>
      </c>
      <c r="P13" s="13">
        <v>-0.20576592590272699</v>
      </c>
    </row>
    <row r="14" spans="1:16">
      <c r="A14" t="s">
        <v>24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>
        <v>1</v>
      </c>
      <c r="O14" s="6">
        <v>1.6195656774210102E-2</v>
      </c>
      <c r="P14" s="6">
        <v>6.7945928813491499E-2</v>
      </c>
    </row>
    <row r="15" spans="1:16">
      <c r="A15" t="s">
        <v>25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>
        <v>1</v>
      </c>
      <c r="P15" s="6">
        <v>-6.5500873141350301E-3</v>
      </c>
    </row>
    <row r="16" spans="1:16">
      <c r="A16" t="s">
        <v>26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>
        <v>1</v>
      </c>
    </row>
    <row r="17" spans="5:12">
      <c r="E17" s="9"/>
      <c r="F17" s="9"/>
      <c r="G17" s="9"/>
      <c r="H17" s="9"/>
      <c r="I17" s="9"/>
      <c r="J17" s="9"/>
      <c r="L17" s="9"/>
    </row>
    <row r="18" spans="5:12">
      <c r="F18" s="9"/>
      <c r="G18" s="9"/>
      <c r="H18" s="9"/>
      <c r="I18" s="9"/>
      <c r="J18" s="9"/>
      <c r="L18" s="9"/>
    </row>
    <row r="19" spans="5:12">
      <c r="F19" s="9"/>
      <c r="G19" s="9"/>
      <c r="H19" s="9"/>
      <c r="I19" s="9"/>
      <c r="J19" s="9"/>
    </row>
    <row r="20" spans="5:12">
      <c r="F20" s="9"/>
      <c r="I20" s="9"/>
      <c r="J20" s="9"/>
    </row>
    <row r="21" spans="5:12">
      <c r="F21" s="9"/>
      <c r="I21" s="9"/>
      <c r="J21" s="9"/>
    </row>
    <row r="22" spans="5:12">
      <c r="I22" s="9"/>
    </row>
    <row r="23" spans="5:12">
      <c r="I23" s="9"/>
    </row>
    <row r="24" spans="5:12">
      <c r="I24" s="9"/>
    </row>
    <row r="25" spans="5:12">
      <c r="I25" s="9"/>
    </row>
    <row r="26" spans="5:12">
      <c r="I26" s="9"/>
    </row>
  </sheetData>
  <phoneticPr fontId="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64_1e-2 clusters</vt:lpstr>
      <vt:lpstr>64_1e-2 Correlation</vt:lpstr>
      <vt:lpstr>64_1e-8 clusters</vt:lpstr>
      <vt:lpstr>64_1e-8 correlation</vt:lpstr>
      <vt:lpstr>'64_1e-2 clusters'!temp</vt:lpstr>
      <vt:lpstr>'64_1e-2 Correlation'!temp</vt:lpstr>
      <vt:lpstr>'64_1e-8 clusters'!temp</vt:lpstr>
      <vt:lpstr>'64_1e-2 clusters'!temp_1</vt:lpstr>
      <vt:lpstr>'64_1e-8 correlation'!temp_1</vt:lpstr>
      <vt:lpstr>'64_1e-8 clusters'!temp_2</vt:lpstr>
    </vt:vector>
  </TitlesOfParts>
  <Company>NREL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Chang</dc:creator>
  <cp:lastModifiedBy>Christopher Chang</cp:lastModifiedBy>
  <dcterms:created xsi:type="dcterms:W3CDTF">2011-05-05T19:45:26Z</dcterms:created>
  <dcterms:modified xsi:type="dcterms:W3CDTF">2011-05-14T00:53:43Z</dcterms:modified>
</cp:coreProperties>
</file>